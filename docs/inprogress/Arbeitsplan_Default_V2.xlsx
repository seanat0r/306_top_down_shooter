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-PCTower\Documents\GitHub\306_top_down_shooter\docs\inprogress\"/>
    </mc:Choice>
  </mc:AlternateContent>
  <xr:revisionPtr revIDLastSave="0" documentId="13_ncr:1_{6C21EAA7-9713-4FC6-93C1-58CBA71BD23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A_r_b_e_i_t_s_______P_l_a_n_u_n_g">Tabelle1!$B$1:$BC$115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" l="1"/>
  <c r="R5" i="1"/>
  <c r="E102" i="1"/>
  <c r="E34" i="1"/>
  <c r="F5" i="1" l="1"/>
  <c r="D23" i="1" l="1"/>
  <c r="E24" i="1"/>
  <c r="D43" i="1"/>
  <c r="E44" i="1"/>
  <c r="D11" i="1" l="1"/>
  <c r="D13" i="1"/>
  <c r="D15" i="1"/>
  <c r="D17" i="1"/>
  <c r="D25" i="1"/>
  <c r="D27" i="1"/>
  <c r="D29" i="1"/>
  <c r="D31" i="1"/>
  <c r="D33" i="1"/>
  <c r="D35" i="1"/>
  <c r="D39" i="1"/>
  <c r="D41" i="1"/>
  <c r="D45" i="1"/>
  <c r="D47" i="1"/>
  <c r="D49" i="1"/>
  <c r="D51" i="1"/>
  <c r="D53" i="1"/>
  <c r="D57" i="1"/>
  <c r="D59" i="1"/>
  <c r="D61" i="1"/>
  <c r="D63" i="1"/>
  <c r="D65" i="1"/>
  <c r="D67" i="1"/>
  <c r="D69" i="1"/>
  <c r="D71" i="1"/>
  <c r="D75" i="1"/>
  <c r="D77" i="1"/>
  <c r="D79" i="1"/>
  <c r="D81" i="1"/>
  <c r="D85" i="1"/>
  <c r="D87" i="1"/>
  <c r="D89" i="1"/>
  <c r="D91" i="1"/>
  <c r="D95" i="1"/>
  <c r="D97" i="1"/>
  <c r="D101" i="1"/>
  <c r="D9" i="1"/>
  <c r="BH104" i="1" l="1"/>
  <c r="D107" i="1"/>
  <c r="J5" i="1"/>
  <c r="N5" i="1"/>
  <c r="V5" i="1"/>
  <c r="Z5" i="1"/>
  <c r="J4" i="1"/>
  <c r="N4" i="1"/>
  <c r="R4" i="1"/>
  <c r="V4" i="1"/>
  <c r="Z4" i="1"/>
  <c r="F4" i="1"/>
  <c r="F6" i="1" s="1"/>
  <c r="Z6" i="1" l="1"/>
  <c r="V6" i="1"/>
  <c r="R6" i="1"/>
  <c r="N6" i="1"/>
  <c r="J6" i="1"/>
  <c r="E106" i="1"/>
  <c r="E98" i="1" l="1"/>
  <c r="E96" i="1"/>
  <c r="E92" i="1"/>
  <c r="E90" i="1"/>
  <c r="E88" i="1"/>
  <c r="E86" i="1"/>
  <c r="E82" i="1"/>
  <c r="E80" i="1"/>
  <c r="E78" i="1"/>
  <c r="E76" i="1"/>
  <c r="E72" i="1"/>
  <c r="E70" i="1"/>
  <c r="E68" i="1"/>
  <c r="E66" i="1"/>
  <c r="E64" i="1"/>
  <c r="E62" i="1"/>
  <c r="E60" i="1"/>
  <c r="E58" i="1"/>
  <c r="E50" i="1"/>
  <c r="E52" i="1"/>
  <c r="E48" i="1"/>
  <c r="E46" i="1"/>
  <c r="E40" i="1"/>
  <c r="E36" i="1"/>
  <c r="E32" i="1"/>
  <c r="E30" i="1"/>
  <c r="E28" i="1"/>
  <c r="E26" i="1"/>
  <c r="E12" i="1"/>
  <c r="E14" i="1"/>
  <c r="E16" i="1"/>
  <c r="E18" i="1"/>
  <c r="E10" i="1"/>
  <c r="E54" i="1" l="1"/>
  <c r="E42" i="1"/>
  <c r="E107" i="1" l="1"/>
  <c r="BI105" i="1"/>
  <c r="BH107" i="1" s="1"/>
  <c r="BF110" i="1" s="1"/>
</calcChain>
</file>

<file path=xl/sharedStrings.xml><?xml version="1.0" encoding="utf-8"?>
<sst xmlns="http://schemas.openxmlformats.org/spreadsheetml/2006/main" count="80" uniqueCount="52">
  <si>
    <t>Soll</t>
  </si>
  <si>
    <t>Abweichung</t>
  </si>
  <si>
    <t>Einführung</t>
  </si>
  <si>
    <t>Tages - SOLL</t>
  </si>
  <si>
    <t>Initialisierung</t>
  </si>
  <si>
    <t>Konzept</t>
  </si>
  <si>
    <t>Realisierung</t>
  </si>
  <si>
    <t>IST</t>
  </si>
  <si>
    <t>Tages  -  IST</t>
  </si>
  <si>
    <t>Projekt : Total Ist</t>
  </si>
  <si>
    <t>Projekt : Total Soll</t>
  </si>
  <si>
    <t>h</t>
  </si>
  <si>
    <t>Projektphasen  - Projektschritte</t>
  </si>
  <si>
    <t>Tag 1</t>
  </si>
  <si>
    <t>Tag 2</t>
  </si>
  <si>
    <t>Tag 3</t>
  </si>
  <si>
    <t>Tag 4</t>
  </si>
  <si>
    <t>Tag 5</t>
  </si>
  <si>
    <t>Tag 6</t>
  </si>
  <si>
    <t>Stunden</t>
  </si>
  <si>
    <t xml:space="preserve">Meilensteine  = </t>
  </si>
  <si>
    <t xml:space="preserve">Projektphasen </t>
  </si>
  <si>
    <t>Totale Arbeitszeit</t>
  </si>
  <si>
    <t xml:space="preserve">AP2.3 Projektmanagementplan </t>
  </si>
  <si>
    <t>AP2.2 Game Design / Lösungskonzept</t>
  </si>
  <si>
    <t>AP2.1 Anforderungen definieren</t>
  </si>
  <si>
    <t xml:space="preserve">AP2.4 Teststrategie und grobe Testfälle definieren </t>
  </si>
  <si>
    <t>AP2.5 Meilenstein M2 vorbereiten</t>
  </si>
  <si>
    <t>Dokumentieren</t>
  </si>
  <si>
    <t>Diverses/ Meetings</t>
  </si>
  <si>
    <t>AP1.1 Team bilden, Rollen definieren</t>
  </si>
  <si>
    <t xml:space="preserve">AP1.2 Spielidee wählen, MVP und Scope grob definieren </t>
  </si>
  <si>
    <t>AP1.3 Stakeholder- und Risikoanalyse erstellen</t>
  </si>
  <si>
    <t>AP1.4 GitHub Repo und Grundstruktur einrichten</t>
  </si>
  <si>
    <t>AP1.5 PIA erstellen und Meilenstein M1 vorbereiten</t>
  </si>
  <si>
    <t>AP3.1 Basis Spielgerüst implementieren</t>
  </si>
  <si>
    <t>AP3.2 Gegner, Kollision, Punktesystem implementieren</t>
  </si>
  <si>
    <t>AP3.3 Issues, Branches, PR Reviews im GitHub führen</t>
  </si>
  <si>
    <t>AP3.4 Tests durchführen und dokumentieren</t>
  </si>
  <si>
    <t>AP3.5 Benutzerhandbuch Entwurf erstellen</t>
  </si>
  <si>
    <t>AP3.6 Statusbericht und Vorbereitung M3</t>
  </si>
  <si>
    <t>AP4.1 Abnahmetests gegen Anforderungen durchführen und protokollieren</t>
  </si>
  <si>
    <t>AP4.2 EXE Build/Release vorbereiten</t>
  </si>
  <si>
    <t>AP4.3 Abschlussdokumentation</t>
  </si>
  <si>
    <t>AP4.4 Abschlusspräsentation vorbereiten und durchführen</t>
  </si>
  <si>
    <t>AP4.5 Repository abschliessen/archivieren</t>
  </si>
  <si>
    <t xml:space="preserve">A r b e i t s   -   P l a n u n g  </t>
  </si>
  <si>
    <t>St.G</t>
  </si>
  <si>
    <t>Ch.G</t>
  </si>
  <si>
    <t>B.P</t>
  </si>
  <si>
    <t>S.S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</si>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</sst>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53">
    <xf numFmtId="0" fontId="0" fillId="0" borderId="0" xfId="0"/>
    <xf numFmtId="2" fontId="1" fillId="10" borderId="15" xfId="0" applyNumberFormat="1" applyFont="1" applyFill="1" applyBorder="1" applyAlignment="1">
      <alignment horizontal="center" vertical="center"/>
    </xf>
    <xf numFmtId="2" fontId="1" fillId="10" borderId="16" xfId="0" applyNumberFormat="1" applyFont="1" applyFill="1" applyBorder="1" applyAlignment="1">
      <alignment horizontal="center" vertical="center"/>
    </xf>
    <xf numFmtId="2" fontId="2" fillId="10" borderId="16" xfId="0" applyNumberFormat="1" applyFont="1" applyFill="1" applyBorder="1" applyAlignment="1">
      <alignment horizontal="center" vertical="center"/>
    </xf>
    <xf numFmtId="2" fontId="2" fillId="10" borderId="17" xfId="0" applyNumberFormat="1" applyFont="1" applyFill="1" applyBorder="1" applyAlignment="1">
      <alignment horizontal="center" vertical="center"/>
    </xf>
    <xf numFmtId="2" fontId="2" fillId="10" borderId="19" xfId="0" applyNumberFormat="1" applyFont="1" applyFill="1" applyBorder="1" applyAlignment="1">
      <alignment horizontal="center" vertical="center"/>
    </xf>
    <xf numFmtId="2" fontId="2" fillId="10" borderId="20" xfId="0" applyNumberFormat="1" applyFont="1" applyFill="1" applyBorder="1" applyAlignment="1">
      <alignment horizontal="center" vertical="center"/>
    </xf>
    <xf numFmtId="2" fontId="2" fillId="10" borderId="18" xfId="0" applyNumberFormat="1" applyFont="1" applyFill="1" applyBorder="1" applyAlignment="1">
      <alignment horizontal="center" vertical="center"/>
    </xf>
    <xf numFmtId="2" fontId="3" fillId="10" borderId="19" xfId="0" applyNumberFormat="1" applyFont="1" applyFill="1" applyBorder="1" applyAlignment="1">
      <alignment horizontal="center" vertical="center"/>
    </xf>
    <xf numFmtId="2" fontId="4" fillId="10" borderId="18" xfId="0" applyNumberFormat="1" applyFont="1" applyFill="1" applyBorder="1" applyAlignment="1">
      <alignment horizontal="center" vertical="center"/>
    </xf>
    <xf numFmtId="2" fontId="4" fillId="10" borderId="19" xfId="0" applyNumberFormat="1" applyFont="1" applyFill="1" applyBorder="1" applyAlignment="1">
      <alignment horizontal="center" vertical="center"/>
    </xf>
    <xf numFmtId="2" fontId="4" fillId="10" borderId="20" xfId="0" applyNumberFormat="1" applyFont="1" applyFill="1" applyBorder="1" applyAlignment="1">
      <alignment horizontal="center" vertical="center"/>
    </xf>
    <xf numFmtId="2" fontId="2" fillId="3" borderId="18" xfId="0" applyNumberFormat="1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2" fillId="10" borderId="21" xfId="0" applyNumberFormat="1" applyFont="1" applyFill="1" applyBorder="1" applyAlignment="1">
      <alignment horizontal="center" vertical="center"/>
    </xf>
    <xf numFmtId="2" fontId="2" fillId="10" borderId="22" xfId="0" applyNumberFormat="1" applyFont="1" applyFill="1" applyBorder="1" applyAlignment="1">
      <alignment horizontal="center" vertical="center"/>
    </xf>
    <xf numFmtId="2" fontId="2" fillId="10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6" fillId="6" borderId="11" xfId="0" applyFont="1" applyFill="1" applyBorder="1"/>
    <xf numFmtId="0" fontId="6" fillId="6" borderId="10" xfId="0" applyFont="1" applyFill="1" applyBorder="1" applyAlignment="1">
      <alignment horizontal="center"/>
    </xf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6" borderId="0" xfId="0" applyFont="1" applyFill="1"/>
    <xf numFmtId="0" fontId="7" fillId="6" borderId="0" xfId="0" applyFont="1" applyFill="1" applyAlignment="1">
      <alignment vertical="center"/>
    </xf>
    <xf numFmtId="0" fontId="5" fillId="6" borderId="3" xfId="0" applyFont="1" applyFill="1" applyBorder="1"/>
    <xf numFmtId="2" fontId="7" fillId="6" borderId="6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3" borderId="0" xfId="0" applyFont="1" applyFill="1" applyAlignment="1">
      <alignment horizontal="left"/>
    </xf>
    <xf numFmtId="2" fontId="9" fillId="3" borderId="6" xfId="0" applyNumberFormat="1" applyFont="1" applyFill="1" applyBorder="1"/>
    <xf numFmtId="2" fontId="9" fillId="3" borderId="13" xfId="0" applyNumberFormat="1" applyFont="1" applyFill="1" applyBorder="1"/>
    <xf numFmtId="2" fontId="2" fillId="0" borderId="0" xfId="0" applyNumberFormat="1" applyFont="1"/>
    <xf numFmtId="2" fontId="11" fillId="3" borderId="5" xfId="0" applyNumberFormat="1" applyFont="1" applyFill="1" applyBorder="1"/>
    <xf numFmtId="2" fontId="11" fillId="3" borderId="14" xfId="0" applyNumberFormat="1" applyFont="1" applyFill="1" applyBorder="1"/>
    <xf numFmtId="2" fontId="11" fillId="3" borderId="6" xfId="0" applyNumberFormat="1" applyFont="1" applyFill="1" applyBorder="1"/>
    <xf numFmtId="2" fontId="11" fillId="3" borderId="13" xfId="0" applyNumberFormat="1" applyFont="1" applyFill="1" applyBorder="1"/>
    <xf numFmtId="0" fontId="12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2" fontId="11" fillId="3" borderId="1" xfId="0" applyNumberFormat="1" applyFont="1" applyFill="1" applyBorder="1"/>
    <xf numFmtId="0" fontId="8" fillId="3" borderId="3" xfId="0" applyFont="1" applyFill="1" applyBorder="1" applyAlignment="1">
      <alignment horizontal="left"/>
    </xf>
    <xf numFmtId="2" fontId="11" fillId="3" borderId="4" xfId="0" applyNumberFormat="1" applyFont="1" applyFill="1" applyBorder="1"/>
    <xf numFmtId="2" fontId="11" fillId="3" borderId="2" xfId="0" applyNumberFormat="1" applyFont="1" applyFill="1" applyBorder="1"/>
    <xf numFmtId="0" fontId="12" fillId="3" borderId="0" xfId="0" applyFont="1" applyFill="1" applyAlignment="1">
      <alignment horizontal="left" vertical="center" wrapText="1"/>
    </xf>
    <xf numFmtId="0" fontId="12" fillId="3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2" fontId="14" fillId="2" borderId="12" xfId="0" applyNumberFormat="1" applyFont="1" applyFill="1" applyBorder="1"/>
    <xf numFmtId="2" fontId="15" fillId="2" borderId="11" xfId="0" applyNumberFormat="1" applyFont="1" applyFill="1" applyBorder="1"/>
    <xf numFmtId="0" fontId="15" fillId="2" borderId="10" xfId="0" applyFont="1" applyFill="1" applyBorder="1"/>
    <xf numFmtId="2" fontId="15" fillId="2" borderId="0" xfId="0" applyNumberFormat="1" applyFont="1" applyFill="1"/>
    <xf numFmtId="0" fontId="15" fillId="2" borderId="0" xfId="0" applyFont="1" applyFill="1"/>
    <xf numFmtId="0" fontId="8" fillId="3" borderId="0" xfId="0" applyFont="1" applyFill="1"/>
    <xf numFmtId="2" fontId="11" fillId="3" borderId="28" xfId="0" applyNumberFormat="1" applyFont="1" applyFill="1" applyBorder="1"/>
    <xf numFmtId="0" fontId="8" fillId="0" borderId="0" xfId="0" applyFont="1"/>
    <xf numFmtId="2" fontId="8" fillId="0" borderId="0" xfId="0" applyNumberFormat="1" applyFont="1"/>
    <xf numFmtId="0" fontId="14" fillId="2" borderId="0" xfId="0" applyFont="1" applyFill="1" applyAlignment="1">
      <alignment horizontal="center"/>
    </xf>
    <xf numFmtId="2" fontId="1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2" fontId="12" fillId="0" borderId="0" xfId="0" applyNumberFormat="1" applyFont="1"/>
    <xf numFmtId="0" fontId="12" fillId="0" borderId="0" xfId="0" applyFont="1" applyAlignment="1">
      <alignment vertical="center"/>
    </xf>
    <xf numFmtId="0" fontId="16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6" fillId="0" borderId="0" xfId="0" applyFont="1"/>
    <xf numFmtId="2" fontId="17" fillId="0" borderId="0" xfId="0" applyNumberFormat="1" applyFont="1"/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29" xfId="0" applyNumberFormat="1" applyFont="1" applyBorder="1"/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0" fontId="4" fillId="0" borderId="7" xfId="0" applyFont="1" applyBorder="1"/>
    <xf numFmtId="0" fontId="1" fillId="0" borderId="7" xfId="0" applyFont="1" applyBorder="1"/>
    <xf numFmtId="0" fontId="2" fillId="0" borderId="7" xfId="0" applyFont="1" applyBorder="1"/>
    <xf numFmtId="2" fontId="9" fillId="10" borderId="18" xfId="0" applyNumberFormat="1" applyFont="1" applyFill="1" applyBorder="1" applyAlignment="1">
      <alignment horizontal="center" vertical="center"/>
    </xf>
    <xf numFmtId="2" fontId="9" fillId="10" borderId="19" xfId="0" applyNumberFormat="1" applyFont="1" applyFill="1" applyBorder="1" applyAlignment="1">
      <alignment horizontal="center" vertical="center"/>
    </xf>
    <xf numFmtId="2" fontId="9" fillId="10" borderId="20" xfId="0" applyNumberFormat="1" applyFont="1" applyFill="1" applyBorder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left" vertical="center"/>
    </xf>
    <xf numFmtId="14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 wrapText="1"/>
    </xf>
    <xf numFmtId="2" fontId="14" fillId="2" borderId="12" xfId="0" applyNumberFormat="1" applyFont="1" applyFill="1" applyBorder="1" applyAlignment="1">
      <alignment horizontal="center"/>
    </xf>
    <xf numFmtId="2" fontId="14" fillId="2" borderId="11" xfId="0" applyNumberFormat="1" applyFont="1" applyFill="1" applyBorder="1" applyAlignment="1">
      <alignment horizontal="center"/>
    </xf>
    <xf numFmtId="2" fontId="7" fillId="11" borderId="9" xfId="0" applyNumberFormat="1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" fontId="5" fillId="6" borderId="9" xfId="0" applyNumberFormat="1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vertical="center" wrapText="1"/>
    </xf>
    <xf numFmtId="0" fontId="10" fillId="3" borderId="25" xfId="0" applyFont="1" applyFill="1" applyBorder="1" applyAlignment="1">
      <alignment vertical="center" wrapText="1"/>
    </xf>
    <xf numFmtId="0" fontId="1" fillId="0" borderId="30" xfId="0" applyFont="1" applyBorder="1" applyAlignment="1">
      <alignment horizontal="center" vertical="center"/>
    </xf>
    <xf numFmtId="2" fontId="7" fillId="6" borderId="31" xfId="0" applyNumberFormat="1" applyFont="1" applyFill="1" applyBorder="1" applyAlignment="1">
      <alignment horizontal="center" vertical="center"/>
    </xf>
    <xf numFmtId="2" fontId="7" fillId="6" borderId="32" xfId="0" applyNumberFormat="1" applyFont="1" applyFill="1" applyBorder="1" applyAlignment="1">
      <alignment horizontal="center" vertical="center"/>
    </xf>
    <xf numFmtId="2" fontId="7" fillId="6" borderId="33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4" fontId="5" fillId="6" borderId="9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2" fontId="7" fillId="6" borderId="7" xfId="0" applyNumberFormat="1" applyFont="1" applyFill="1" applyBorder="1" applyAlignment="1">
      <alignment horizontal="center" vertical="center"/>
    </xf>
    <xf numFmtId="2" fontId="7" fillId="6" borderId="8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7" borderId="27" xfId="0" applyFont="1" applyFill="1" applyBorder="1" applyAlignment="1">
      <alignment horizontal="center"/>
    </xf>
    <xf numFmtId="0" fontId="8" fillId="9" borderId="26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2" fontId="5" fillId="6" borderId="9" xfId="0" applyNumberFormat="1" applyFont="1" applyFill="1" applyBorder="1" applyAlignment="1">
      <alignment horizontal="center" vertical="center"/>
    </xf>
    <xf numFmtId="2" fontId="1" fillId="7" borderId="15" xfId="0" applyNumberFormat="1" applyFont="1" applyFill="1" applyBorder="1" applyAlignment="1">
      <alignment horizontal="center" vertical="center"/>
    </xf>
    <xf numFmtId="2" fontId="1" fillId="7" borderId="16" xfId="0" applyNumberFormat="1" applyFont="1" applyFill="1" applyBorder="1" applyAlignment="1">
      <alignment horizontal="center" vertical="center"/>
    </xf>
    <xf numFmtId="2" fontId="2" fillId="7" borderId="16" xfId="0" applyNumberFormat="1" applyFont="1" applyFill="1" applyBorder="1" applyAlignment="1">
      <alignment horizontal="center" vertical="center"/>
    </xf>
    <xf numFmtId="2" fontId="2" fillId="7" borderId="17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4" fillId="9" borderId="18" xfId="0" applyNumberFormat="1" applyFont="1" applyFill="1" applyBorder="1" applyAlignment="1">
      <alignment horizontal="center" vertical="center"/>
    </xf>
    <xf numFmtId="2" fontId="4" fillId="9" borderId="19" xfId="0" applyNumberFormat="1" applyFont="1" applyFill="1" applyBorder="1" applyAlignment="1">
      <alignment horizontal="center" vertical="center"/>
    </xf>
    <xf numFmtId="2" fontId="4" fillId="9" borderId="20" xfId="0" applyNumberFormat="1" applyFont="1" applyFill="1" applyBorder="1" applyAlignment="1">
      <alignment horizontal="center" vertical="center"/>
    </xf>
    <xf numFmtId="2" fontId="2" fillId="9" borderId="18" xfId="0" applyNumberFormat="1" applyFont="1" applyFill="1" applyBorder="1" applyAlignment="1">
      <alignment horizontal="center" vertical="center"/>
    </xf>
    <xf numFmtId="2" fontId="2" fillId="9" borderId="19" xfId="0" applyNumberFormat="1" applyFont="1" applyFill="1" applyBorder="1" applyAlignment="1">
      <alignment horizontal="center" vertical="center"/>
    </xf>
    <xf numFmtId="2" fontId="2" fillId="9" borderId="20" xfId="0" applyNumberFormat="1" applyFont="1" applyFill="1" applyBorder="1" applyAlignment="1">
      <alignment horizontal="center" vertical="center"/>
    </xf>
    <xf numFmtId="2" fontId="2" fillId="13" borderId="18" xfId="0" applyNumberFormat="1" applyFont="1" applyFill="1" applyBorder="1" applyAlignment="1">
      <alignment horizontal="center" vertical="center"/>
    </xf>
    <xf numFmtId="2" fontId="2" fillId="13" borderId="19" xfId="0" applyNumberFormat="1" applyFont="1" applyFill="1" applyBorder="1" applyAlignment="1">
      <alignment horizontal="center" vertical="center"/>
    </xf>
    <xf numFmtId="2" fontId="2" fillId="13" borderId="20" xfId="0" applyNumberFormat="1" applyFont="1" applyFill="1" applyBorder="1" applyAlignment="1">
      <alignment horizontal="center" vertical="center"/>
    </xf>
    <xf numFmtId="2" fontId="2" fillId="5" borderId="18" xfId="0" applyNumberFormat="1" applyFont="1" applyFill="1" applyBorder="1" applyAlignment="1">
      <alignment horizontal="center" vertical="center"/>
    </xf>
    <xf numFmtId="2" fontId="2" fillId="5" borderId="19" xfId="0" applyNumberFormat="1" applyFont="1" applyFill="1" applyBorder="1" applyAlignment="1">
      <alignment horizontal="center" vertical="center"/>
    </xf>
    <xf numFmtId="2" fontId="2" fillId="5" borderId="20" xfId="0" applyNumberFormat="1" applyFont="1" applyFill="1" applyBorder="1" applyAlignment="1">
      <alignment horizontal="center" vertical="center"/>
    </xf>
    <xf numFmtId="2" fontId="2" fillId="14" borderId="18" xfId="0" applyNumberFormat="1" applyFont="1" applyFill="1" applyBorder="1" applyAlignment="1">
      <alignment horizontal="center" vertical="center"/>
    </xf>
    <xf numFmtId="2" fontId="2" fillId="14" borderId="19" xfId="0" applyNumberFormat="1" applyFont="1" applyFill="1" applyBorder="1" applyAlignment="1">
      <alignment horizontal="center" vertical="center"/>
    </xf>
    <xf numFmtId="2" fontId="2" fillId="14" borderId="20" xfId="0" applyNumberFormat="1" applyFont="1" applyFill="1" applyBorder="1" applyAlignment="1">
      <alignment horizontal="center" vertical="center"/>
    </xf>
    <xf numFmtId="2" fontId="2" fillId="8" borderId="18" xfId="0" applyNumberFormat="1" applyFont="1" applyFill="1" applyBorder="1" applyAlignment="1">
      <alignment horizontal="center" vertical="center"/>
    </xf>
    <xf numFmtId="2" fontId="2" fillId="8" borderId="19" xfId="0" applyNumberFormat="1" applyFont="1" applyFill="1" applyBorder="1" applyAlignment="1">
      <alignment horizontal="center" vertical="center"/>
    </xf>
    <xf numFmtId="2" fontId="2" fillId="8" borderId="20" xfId="0" applyNumberFormat="1" applyFont="1" applyFill="1" applyBorder="1" applyAlignment="1">
      <alignment horizontal="center" vertical="center"/>
    </xf>
    <xf numFmtId="2" fontId="2" fillId="15" borderId="18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2" fontId="2" fillId="15" borderId="2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D5EFFF"/>
      <color rgb="FFFFFF99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178210</xdr:colOff>
      <xdr:row>109</xdr:row>
      <xdr:rowOff>13606</xdr:rowOff>
    </xdr:from>
    <xdr:to>
      <xdr:col>12</xdr:col>
      <xdr:colOff>323021</xdr:colOff>
      <xdr:row>109</xdr:row>
      <xdr:rowOff>230443</xdr:rowOff>
    </xdr:to>
    <xdr:sp macro="" textlink="">
      <xdr:nvSpPr>
        <xdr:cNvPr id="2" name="Eingekerbter Richtungspfei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86884" y="23246323"/>
          <a:ext cx="1884159" cy="216837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165653</xdr:colOff>
      <xdr:row>109</xdr:row>
      <xdr:rowOff>18435</xdr:rowOff>
    </xdr:from>
    <xdr:to>
      <xdr:col>24</xdr:col>
      <xdr:colOff>341056</xdr:colOff>
      <xdr:row>109</xdr:row>
      <xdr:rowOff>233516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593457" y="23251152"/>
          <a:ext cx="6553012" cy="21508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159506</xdr:colOff>
      <xdr:row>109</xdr:row>
      <xdr:rowOff>15363</xdr:rowOff>
    </xdr:from>
    <xdr:to>
      <xdr:col>28</xdr:col>
      <xdr:colOff>298174</xdr:colOff>
      <xdr:row>109</xdr:row>
      <xdr:rowOff>233516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544702" y="23248080"/>
          <a:ext cx="1878015" cy="21815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109</xdr:row>
      <xdr:rowOff>190500</xdr:rowOff>
    </xdr:from>
    <xdr:to>
      <xdr:col>2</xdr:col>
      <xdr:colOff>1885293</xdr:colOff>
      <xdr:row>339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30725</xdr:colOff>
      <xdr:row>109</xdr:row>
      <xdr:rowOff>12291</xdr:rowOff>
    </xdr:from>
    <xdr:to>
      <xdr:col>8</xdr:col>
      <xdr:colOff>344129</xdr:colOff>
      <xdr:row>109</xdr:row>
      <xdr:rowOff>233517</xdr:rowOff>
    </xdr:to>
    <xdr:sp macro="" textlink="">
      <xdr:nvSpPr>
        <xdr:cNvPr id="22" name="Eingekerbter Richtungs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22540" y="23154968"/>
          <a:ext cx="2046339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108</xdr:row>
      <xdr:rowOff>39414</xdr:rowOff>
    </xdr:from>
    <xdr:to>
      <xdr:col>2</xdr:col>
      <xdr:colOff>4660353</xdr:colOff>
      <xdr:row>108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410143</xdr:colOff>
      <xdr:row>18</xdr:row>
      <xdr:rowOff>12819</xdr:rowOff>
    </xdr:from>
    <xdr:to>
      <xdr:col>9</xdr:col>
      <xdr:colOff>168643</xdr:colOff>
      <xdr:row>19</xdr:row>
      <xdr:rowOff>140231</xdr:rowOff>
    </xdr:to>
    <xdr:sp macro="" textlink="">
      <xdr:nvSpPr>
        <xdr:cNvPr id="31" name="Raut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940496" y="3934878"/>
          <a:ext cx="341206" cy="34032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420414</xdr:colOff>
      <xdr:row>35</xdr:row>
      <xdr:rowOff>93163</xdr:rowOff>
    </xdr:from>
    <xdr:to>
      <xdr:col>13</xdr:col>
      <xdr:colOff>178913</xdr:colOff>
      <xdr:row>37</xdr:row>
      <xdr:rowOff>104823</xdr:rowOff>
    </xdr:to>
    <xdr:sp macro="" textlink="">
      <xdr:nvSpPr>
        <xdr:cNvPr id="32" name="Raut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281590" y="7668339"/>
          <a:ext cx="341205" cy="347837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417920</xdr:colOff>
      <xdr:row>53</xdr:row>
      <xdr:rowOff>32282</xdr:rowOff>
    </xdr:from>
    <xdr:to>
      <xdr:col>21</xdr:col>
      <xdr:colOff>176418</xdr:colOff>
      <xdr:row>54</xdr:row>
      <xdr:rowOff>214738</xdr:rowOff>
    </xdr:to>
    <xdr:sp macro="" textlink="">
      <xdr:nvSpPr>
        <xdr:cNvPr id="33" name="Raut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4940744" y="11350223"/>
          <a:ext cx="341203" cy="35054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400237</xdr:colOff>
      <xdr:row>71</xdr:row>
      <xdr:rowOff>50176</xdr:rowOff>
    </xdr:from>
    <xdr:to>
      <xdr:col>29</xdr:col>
      <xdr:colOff>158737</xdr:colOff>
      <xdr:row>72</xdr:row>
      <xdr:rowOff>188124</xdr:rowOff>
    </xdr:to>
    <xdr:sp macro="" textlink="">
      <xdr:nvSpPr>
        <xdr:cNvPr id="34" name="Raut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84708" y="15211735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417872</xdr:colOff>
      <xdr:row>108</xdr:row>
      <xdr:rowOff>187427</xdr:rowOff>
    </xdr:from>
    <xdr:to>
      <xdr:col>9</xdr:col>
      <xdr:colOff>173722</xdr:colOff>
      <xdr:row>110</xdr:row>
      <xdr:rowOff>43757</xdr:rowOff>
    </xdr:to>
    <xdr:sp macro="" textlink="">
      <xdr:nvSpPr>
        <xdr:cNvPr id="38" name="Rau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942622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404149</xdr:colOff>
      <xdr:row>108</xdr:row>
      <xdr:rowOff>190501</xdr:rowOff>
    </xdr:from>
    <xdr:to>
      <xdr:col>13</xdr:col>
      <xdr:colOff>159999</xdr:colOff>
      <xdr:row>110</xdr:row>
      <xdr:rowOff>46831</xdr:rowOff>
    </xdr:to>
    <xdr:sp macro="" textlink="">
      <xdr:nvSpPr>
        <xdr:cNvPr id="39" name="Raut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0252171" y="23191305"/>
          <a:ext cx="335632" cy="32843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411725</xdr:colOff>
      <xdr:row>108</xdr:row>
      <xdr:rowOff>193572</xdr:rowOff>
    </xdr:from>
    <xdr:to>
      <xdr:col>25</xdr:col>
      <xdr:colOff>167575</xdr:colOff>
      <xdr:row>110</xdr:row>
      <xdr:rowOff>49902</xdr:rowOff>
    </xdr:to>
    <xdr:sp macro="" textlink="">
      <xdr:nvSpPr>
        <xdr:cNvPr id="40" name="Rau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7227959" y="23096588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425219</xdr:colOff>
      <xdr:row>108</xdr:row>
      <xdr:rowOff>193573</xdr:rowOff>
    </xdr:from>
    <xdr:to>
      <xdr:col>29</xdr:col>
      <xdr:colOff>181069</xdr:colOff>
      <xdr:row>110</xdr:row>
      <xdr:rowOff>49903</xdr:rowOff>
    </xdr:to>
    <xdr:sp macro="" textlink="">
      <xdr:nvSpPr>
        <xdr:cNvPr id="41" name="Raut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9549762" y="23194377"/>
          <a:ext cx="335633" cy="32843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V340"/>
  <sheetViews>
    <sheetView showGridLines="0" tabSelected="1" zoomScale="85" zoomScaleNormal="85" workbookViewId="0">
      <pane xSplit="5" ySplit="7" topLeftCell="AW76" activePane="bottomRight" state="frozen"/>
      <selection pane="topRight" activeCell="F1" sqref="F1"/>
      <selection pane="bottomLeft" activeCell="A8" sqref="A8"/>
      <selection pane="bottomRight" activeCell="AW100" sqref="AW100"/>
    </sheetView>
  </sheetViews>
  <sheetFormatPr baseColWidth="10" defaultRowHeight="12.75" x14ac:dyDescent="0.2"/>
  <cols>
    <col min="1" max="1" width="1.140625" style="75" customWidth="1"/>
    <col min="2" max="2" width="0.85546875" style="74" customWidth="1"/>
    <col min="3" max="3" width="70" style="75" customWidth="1"/>
    <col min="4" max="5" width="7.42578125" style="76" customWidth="1"/>
    <col min="6" max="6" width="8.5703125" style="75" customWidth="1"/>
    <col min="7" max="53" width="8.7109375" style="75" customWidth="1"/>
    <col min="54" max="54" width="6.85546875" style="78" hidden="1" customWidth="1"/>
    <col min="55" max="55" width="6" style="78" hidden="1" customWidth="1"/>
    <col min="56" max="56" width="4.140625" style="75" hidden="1" customWidth="1"/>
    <col min="57" max="58" width="6.7109375" style="75" customWidth="1"/>
    <col min="59" max="59" width="12.85546875" style="75" customWidth="1"/>
    <col min="60" max="60" width="9.85546875" style="75" bestFit="1" customWidth="1"/>
    <col min="61" max="61" width="9.140625" style="75" customWidth="1"/>
    <col min="62" max="62" width="3.42578125" style="75" customWidth="1"/>
    <col min="63" max="73" width="0" style="75" hidden="1" customWidth="1"/>
    <col min="74" max="16384" width="11.42578125" style="75"/>
  </cols>
  <sheetData>
    <row r="1" spans="2:57" s="18" customFormat="1" ht="16.5" thickBot="1" x14ac:dyDescent="0.25">
      <c r="B1" s="19"/>
      <c r="C1" s="106" t="s">
        <v>46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20"/>
      <c r="BC1" s="20"/>
      <c r="BD1" s="20"/>
    </row>
    <row r="2" spans="2:57" s="21" customFormat="1" ht="16.5" thickTop="1" thickBot="1" x14ac:dyDescent="0.25">
      <c r="B2" s="22"/>
      <c r="C2" s="23"/>
      <c r="D2" s="24"/>
      <c r="E2" s="25"/>
      <c r="F2" s="103" t="s">
        <v>13</v>
      </c>
      <c r="G2" s="103"/>
      <c r="H2" s="103"/>
      <c r="I2" s="103"/>
      <c r="J2" s="103" t="s">
        <v>14</v>
      </c>
      <c r="K2" s="103"/>
      <c r="L2" s="103"/>
      <c r="M2" s="103"/>
      <c r="N2" s="103" t="s">
        <v>15</v>
      </c>
      <c r="O2" s="103"/>
      <c r="P2" s="103"/>
      <c r="Q2" s="103"/>
      <c r="R2" s="103" t="s">
        <v>16</v>
      </c>
      <c r="S2" s="103"/>
      <c r="T2" s="103"/>
      <c r="U2" s="103"/>
      <c r="V2" s="103" t="s">
        <v>17</v>
      </c>
      <c r="W2" s="103"/>
      <c r="X2" s="103"/>
      <c r="Y2" s="103"/>
      <c r="Z2" s="103" t="s">
        <v>18</v>
      </c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25"/>
      <c r="AM2" s="125"/>
      <c r="AN2" s="125"/>
      <c r="AO2" s="125"/>
      <c r="AP2" s="111"/>
      <c r="AQ2" s="110"/>
      <c r="AR2" s="110"/>
      <c r="AS2" s="110"/>
      <c r="AT2" s="103"/>
      <c r="AU2" s="103"/>
      <c r="AV2" s="103"/>
      <c r="AW2" s="103"/>
      <c r="AX2" s="110"/>
      <c r="AY2" s="110"/>
      <c r="AZ2" s="110"/>
      <c r="BA2" s="110"/>
      <c r="BB2" s="26"/>
      <c r="BC2" s="26"/>
      <c r="BE2" s="85"/>
    </row>
    <row r="3" spans="2:57" s="27" customFormat="1" ht="17.25" thickTop="1" thickBot="1" x14ac:dyDescent="0.3">
      <c r="B3" s="28"/>
      <c r="C3" s="23"/>
      <c r="D3" s="24"/>
      <c r="E3" s="25"/>
      <c r="F3" s="95">
        <v>46084</v>
      </c>
      <c r="G3" s="96"/>
      <c r="H3" s="96"/>
      <c r="I3" s="96"/>
      <c r="J3" s="95">
        <v>46091</v>
      </c>
      <c r="K3" s="96"/>
      <c r="L3" s="96"/>
      <c r="M3" s="96"/>
      <c r="N3" s="95">
        <v>46098</v>
      </c>
      <c r="O3" s="96"/>
      <c r="P3" s="96"/>
      <c r="Q3" s="96"/>
      <c r="R3" s="95">
        <v>46099</v>
      </c>
      <c r="S3" s="96"/>
      <c r="T3" s="96"/>
      <c r="U3" s="96"/>
      <c r="V3" s="95">
        <v>46100</v>
      </c>
      <c r="W3" s="96"/>
      <c r="X3" s="96"/>
      <c r="Y3" s="96"/>
      <c r="Z3" s="95">
        <v>41053</v>
      </c>
      <c r="AA3" s="96"/>
      <c r="AB3" s="96"/>
      <c r="AC3" s="96"/>
      <c r="AD3" s="95"/>
      <c r="AE3" s="96"/>
      <c r="AF3" s="96"/>
      <c r="AG3" s="96"/>
      <c r="AH3" s="95"/>
      <c r="AI3" s="96"/>
      <c r="AJ3" s="96"/>
      <c r="AK3" s="96"/>
      <c r="AL3" s="95"/>
      <c r="AM3" s="96"/>
      <c r="AN3" s="96"/>
      <c r="AO3" s="96"/>
      <c r="AP3" s="95"/>
      <c r="AQ3" s="96"/>
      <c r="AR3" s="96"/>
      <c r="AS3" s="96"/>
      <c r="AT3" s="95"/>
      <c r="AU3" s="96"/>
      <c r="AV3" s="96"/>
      <c r="AW3" s="96"/>
      <c r="AX3" s="95"/>
      <c r="AY3" s="96"/>
      <c r="AZ3" s="96"/>
      <c r="BA3" s="96"/>
      <c r="BB3" s="29"/>
      <c r="BC3" s="29"/>
      <c r="BE3" s="86"/>
    </row>
    <row r="4" spans="2:57" s="27" customFormat="1" ht="17.25" thickTop="1" thickBot="1" x14ac:dyDescent="0.3">
      <c r="B4" s="28"/>
      <c r="C4" s="112" t="s">
        <v>3</v>
      </c>
      <c r="D4" s="112"/>
      <c r="E4" s="113"/>
      <c r="F4" s="100">
        <f>SUM(F9:I9,F11:I11,F13:I13,F15:I15,F17:I17,F19:I19,F23:I23,F25:I25,F27:I27,F29:I29,F31:I31,F33:I33,F39:I39,F41:I41,F43:I43,F45:I45,F47:I47,F49:I49,F51:I51,F53:I53,F57:I57,F59:I59,F61:I61,F63:I63,F65:I65,F67:I67,F69:I69,F71:I71,F75:I75,F77:I77,F79:I79,F81:I81,F85:I85,F87:I87,F89:I89,F91:I91,F95:I95,F97:I97,F101:I101,F105:I105,F35:I35)</f>
        <v>14</v>
      </c>
      <c r="G4" s="101"/>
      <c r="H4" s="101"/>
      <c r="I4" s="101"/>
      <c r="J4" s="100">
        <f>SUM(J9:M9,J11:M11,J13:M13,J15:M15,J17:M17,J19:M19,J23:M23,J25:M25,J27:M27,J29:M29,J31:M31,J33:M33,J39:M39,J41:M41,J43:M43,J45:M45,J47:M47,J49:M49,J51:M51,J53:M53,J57:M57,J59:M59,J61:M61,J63:M63,J65:M65,J67:M67,J69:M69,J71:M71,J75:M75,J77:M77,J79:M79,J81:M81,J85:M85,J87:M87,J89:M89,J91:M91,J95:M95,J97:M97,J101:M101,J105:M105,J35:M35)</f>
        <v>14</v>
      </c>
      <c r="K4" s="101"/>
      <c r="L4" s="101"/>
      <c r="M4" s="101"/>
      <c r="N4" s="100">
        <f>SUM(N9:Q9,N11:Q11,N13:Q13,N15:Q15,N17:Q17,N19:Q19,N23:Q23,N25:Q25,N27:Q27,N29:Q29,N31:Q31,N33:Q33,N39:Q39,N41:Q41,N43:Q43,N45:Q45,N47:Q47,N49:Q49,N51:Q51,N53:Q53,N57:Q57,N59:Q59,N61:Q61,N63:Q63,N65:Q65,N67:Q67,N69:Q69,N71:Q71,N75:Q75,N77:Q77,N79:Q79,N81:Q81,N85:Q85,N87:Q87,N89:Q89,N91:Q91,N95:Q95,N97:Q97,N101:Q101,N105:Q105,N35:Q35)</f>
        <v>14</v>
      </c>
      <c r="O4" s="101"/>
      <c r="P4" s="101"/>
      <c r="Q4" s="101"/>
      <c r="R4" s="100">
        <f>SUM(R9:U9,R11:U11,R13:U13,R15:U15,R17:U17,R19:U19,R23:U23,R25:U25,R27:U27,R29:U29,R31:U31,R33:U33,R39:U39,R41:U41,R43:U43,R45:U45,R47:U47,R49:U49,R51:U51,R53:U53,R57:U57,R59:U59,R61:U61,R63:U63,R65:U65,R67:U67,R69:U69,R71:U71,R75:U75,R77:U77,R79:U79,R81:U81,R85:U85,R87:U87,R89:U89,R91:U91,R95:U95,R97:U97,R101:U101,R105:U105,R35:U35)</f>
        <v>14</v>
      </c>
      <c r="S4" s="101"/>
      <c r="T4" s="101"/>
      <c r="U4" s="101"/>
      <c r="V4" s="100">
        <f>SUM(V9:Y9,V11:Y11,V13:Y13,V15:Y15,V17:Y17,V19:Y19,V23:Y23,V25:Y25,V27:Y27,V29:Y29,V31:Y31,V33:Y33,V39:Y39,V41:Y41,V43:Y43,V45:Y45,V47:Y47,V49:Y49,V51:Y51,V53:Y53,V57:Y57,V59:Y59,V61:Y61,V63:Y63,V65:Y65,V67:Y67,V69:Y69,V71:Y71,V75:Y75,V77:Y77,V79:Y79,V81:Y81,V85:Y85,V87:Y87,V89:Y89,V91:Y91,V95:Y95,V97:Y97,V101:Y101,V105:Y105,V35:Y35)</f>
        <v>13.999999999999996</v>
      </c>
      <c r="W4" s="101"/>
      <c r="X4" s="101"/>
      <c r="Y4" s="101"/>
      <c r="Z4" s="100">
        <f>SUM(Z9:AC9,Z11:AC11,Z13:AC13,Z15:AC15,Z17:AC17,Z19:AC19,Z23:AC23,Z25:AC25,Z27:AC27,Z29:AC29,Z31:AC31,Z33:AC33,Z39:AC39,Z41:AC41,Z43:AC43,Z45:AC45,Z47:AC47,Z49:AC49,Z51:AC51,Z53:AC53,Z57:AC57,Z59:AC59,Z61:AC61,Z63:AC63,Z65:AC65,Z67:AC67,Z69:AC69,Z71:AC71,Z75:AC75,Z77:AC77,Z79:AC79,Z81:AC81,Z85:AC85,Z87:AC87,Z89:AC89,Z91:AC91,Z95:AC95,Z97:AC97,Z101:AC101,Z105:AC105,Z35:AC35)</f>
        <v>14</v>
      </c>
      <c r="AA4" s="101"/>
      <c r="AB4" s="101"/>
      <c r="AC4" s="101"/>
      <c r="AD4" s="100"/>
      <c r="AE4" s="101"/>
      <c r="AF4" s="101"/>
      <c r="AG4" s="101"/>
      <c r="AH4" s="100"/>
      <c r="AI4" s="101"/>
      <c r="AJ4" s="101"/>
      <c r="AK4" s="101"/>
      <c r="AL4" s="100"/>
      <c r="AM4" s="101"/>
      <c r="AN4" s="101"/>
      <c r="AO4" s="101"/>
      <c r="AP4" s="100"/>
      <c r="AQ4" s="101"/>
      <c r="AR4" s="101"/>
      <c r="AS4" s="101"/>
      <c r="AT4" s="100"/>
      <c r="AU4" s="101"/>
      <c r="AV4" s="101"/>
      <c r="AW4" s="101"/>
      <c r="AX4" s="100"/>
      <c r="AY4" s="101"/>
      <c r="AZ4" s="101"/>
      <c r="BA4" s="101"/>
      <c r="BB4" s="30"/>
      <c r="BC4" s="29"/>
      <c r="BE4" s="86"/>
    </row>
    <row r="5" spans="2:57" s="27" customFormat="1" ht="17.25" thickTop="1" thickBot="1" x14ac:dyDescent="0.3">
      <c r="B5" s="28"/>
      <c r="C5" s="112" t="s">
        <v>8</v>
      </c>
      <c r="D5" s="112"/>
      <c r="E5" s="113"/>
      <c r="F5" s="91">
        <f>SUM(F10:I10,F12:I12,F14:I14,F16:I16,F18:I18,F20:I20,F24:I24,F26:I26,F28:I28,F30:I30,F32:I32,F36:I36,F40:I40,F42:I42,F44:I44,F46:I46,F48:I48,F50:I50,F52:I52,F54:I54,F58:I58,F60:I60,F62:I62,F64:I64,F66:I66,F68:I68,F70:I70,F72:I72,F76:I76,F78:I78,F80:I80,F82:I82,F86:I86,F88:I88,F90:I90,F92:I92,F96:I96,F98:I98,F102:I102,F106:I106,F34:I34)</f>
        <v>14</v>
      </c>
      <c r="G5" s="92"/>
      <c r="H5" s="92"/>
      <c r="I5" s="92"/>
      <c r="J5" s="91">
        <f>SUM(J10:M10,J12:M12,J14:M14,J16:M16,J18:M18,J20:M20,J24:M24,J26:M26,J28:M28,J30:M30,J32:M32,J36:M36,J40:M40,J42:M42,J44:M44,J46:M46,J48:M48,J50:M50,J52:M52,J54:M54,J58:M58,J60:M60,J62:M62,J64:M64,J66:M66,J68:M68,J70:M70,J72:M72,J76:M76,J78:M78,J80:M80,J82:M82,J86:M86,J88:M88,J90:M90,J92:M92,J96:M96,J98:M98,J102:M102,J106:M106,J34:M34)</f>
        <v>14.75</v>
      </c>
      <c r="K5" s="92"/>
      <c r="L5" s="92"/>
      <c r="M5" s="92"/>
      <c r="N5" s="91">
        <f>SUM(N10:Q10,N12:Q12,N14:Q14,N16:Q16,N18:Q18,N20:Q20,N24:Q24,N26:Q26,N28:Q28,N30:Q30,N32:Q32,N36:Q36,N40:Q40,N42:Q42,N44:Q44,N46:Q46,N48:Q48,N50:Q50,N52:Q52,N54:Q54,N58:Q58,N60:Q60,N62:Q62,N64:Q64,N66:Q66,N68:Q68,N70:Q70,N72:Q72,N76:Q76,N78:Q78,N80:Q80,N82:Q82,N86:Q86,N88:Q88,N90:Q90,N92:Q92,N96:Q96,N98:Q98,N102:Q102,N106:Q106,N34:Q34)</f>
        <v>14</v>
      </c>
      <c r="O5" s="92"/>
      <c r="P5" s="92"/>
      <c r="Q5" s="92"/>
      <c r="R5" s="91">
        <f>SUM(R10:U10,R12:U12,R14:U14,R16:U16,R18:U18,R20:U20,R24:U24,R26:U26,R28:U28,R30:U30,R32:U32,R36:U36,R40:U40,R42:U42,R44:U44,R46:U46,R48:U48,R50:U50,R52:U52,R54:U54,R58:U58,R60:U60,R62:U62,R64:U64,R66:U66,R68:U68,R70:U70,R72:U72,R76:U76,R78:U78,R80:U80,R82:U82,R86:U86,R88:U88,R90:U90,R92:U92,R96:U96,R98:U98,R102:U102,R106:U106,R34:U34)</f>
        <v>14</v>
      </c>
      <c r="S5" s="92"/>
      <c r="T5" s="92"/>
      <c r="U5" s="92"/>
      <c r="V5" s="91">
        <f>SUM(V10:Y10,V12:Y12,V14:Y14,V16:Y16,V18:Y18,V20:Y20,V24:Y24,V26:Y26,V28:Y28,V30:Y30,V32:Y32,V36:Y36,V40:Y40,V42:Y42,V44:Y44,V46:Y46,V48:Y48,V50:Y50,V52:Y52,V54:Y54,V58:Y58,V60:Y60,V62:Y62,V64:Y64,V66:Y66,V68:Y68,V70:Y70,V72:Y72,V76:Y76,V78:Y78,V80:Y80,V82:Y82,V86:Y86,V88:Y88,V90:Y90,V92:Y92,V96:Y96,V98:Y98,V102:Y102,V106:Y106,V34:Y34)</f>
        <v>13.999999999999996</v>
      </c>
      <c r="W5" s="92"/>
      <c r="X5" s="92"/>
      <c r="Y5" s="92"/>
      <c r="Z5" s="91">
        <f>SUM(Z10:AC10,Z12:AC12,Z14:AC14,Z16:AC16,Z18:AC18,Z20:AC20,Z24:AC24,Z26:AC26,Z28:AC28,Z30:AC30,Z32:AC32,Z36:AC36,Z40:AC40,Z42:AC42,Z44:AC44,Z46:AC46,Z48:AC48,Z50:AC50,Z52:AC52,Z54:AC54,Z58:AC58,Z60:AC60,Z62:AC62,Z64:AC64,Z66:AC66,Z68:AC68,Z70:AC70,Z72:AC72,Z76:AC76,Z78:AC78,Z80:AC80,Z82:AC82,Z86:AC86,Z88:AC88,Z90:AC90,Z92:AC92,Z96:AC96,Z98:AC98,Z102:AC102,Z106:AC106,Z34:AC34)</f>
        <v>14</v>
      </c>
      <c r="AA5" s="92"/>
      <c r="AB5" s="92"/>
      <c r="AC5" s="92"/>
      <c r="AD5" s="91"/>
      <c r="AE5" s="92"/>
      <c r="AF5" s="92"/>
      <c r="AG5" s="92"/>
      <c r="AH5" s="91"/>
      <c r="AI5" s="92"/>
      <c r="AJ5" s="92"/>
      <c r="AK5" s="92"/>
      <c r="AL5" s="91"/>
      <c r="AM5" s="92"/>
      <c r="AN5" s="92"/>
      <c r="AO5" s="92"/>
      <c r="AP5" s="91"/>
      <c r="AQ5" s="92"/>
      <c r="AR5" s="92"/>
      <c r="AS5" s="92"/>
      <c r="AT5" s="91"/>
      <c r="AU5" s="92"/>
      <c r="AV5" s="92"/>
      <c r="AW5" s="92"/>
      <c r="AX5" s="91"/>
      <c r="AY5" s="92"/>
      <c r="AZ5" s="92"/>
      <c r="BA5" s="92"/>
      <c r="BB5" s="30"/>
      <c r="BC5" s="29"/>
      <c r="BE5" s="86"/>
    </row>
    <row r="6" spans="2:57" s="27" customFormat="1" ht="17.25" thickTop="1" thickBot="1" x14ac:dyDescent="0.3">
      <c r="B6" s="28"/>
      <c r="C6" s="31" t="s">
        <v>12</v>
      </c>
      <c r="D6" s="117" t="s">
        <v>19</v>
      </c>
      <c r="E6" s="118"/>
      <c r="F6" s="107">
        <f>F4-F5</f>
        <v>0</v>
      </c>
      <c r="G6" s="108"/>
      <c r="H6" s="108"/>
      <c r="I6" s="109"/>
      <c r="J6" s="107">
        <f t="shared" ref="J6" si="0">J4-J5</f>
        <v>-0.75</v>
      </c>
      <c r="K6" s="108"/>
      <c r="L6" s="108"/>
      <c r="M6" s="109"/>
      <c r="N6" s="107">
        <f t="shared" ref="N6" si="1">N4-N5</f>
        <v>0</v>
      </c>
      <c r="O6" s="108"/>
      <c r="P6" s="108"/>
      <c r="Q6" s="108"/>
      <c r="R6" s="107">
        <f t="shared" ref="R6" si="2">R4-R5</f>
        <v>0</v>
      </c>
      <c r="S6" s="108"/>
      <c r="T6" s="108"/>
      <c r="U6" s="108"/>
      <c r="V6" s="107">
        <f t="shared" ref="V6" si="3">V4-V5</f>
        <v>0</v>
      </c>
      <c r="W6" s="108"/>
      <c r="X6" s="108"/>
      <c r="Y6" s="108"/>
      <c r="Z6" s="107">
        <f t="shared" ref="Z6" si="4">Z4-Z5</f>
        <v>0</v>
      </c>
      <c r="AA6" s="108"/>
      <c r="AB6" s="108"/>
      <c r="AC6" s="108"/>
      <c r="AD6" s="107"/>
      <c r="AE6" s="108"/>
      <c r="AF6" s="108"/>
      <c r="AG6" s="108"/>
      <c r="AH6" s="107"/>
      <c r="AI6" s="108"/>
      <c r="AJ6" s="108"/>
      <c r="AK6" s="108"/>
      <c r="AL6" s="107"/>
      <c r="AM6" s="108"/>
      <c r="AN6" s="108"/>
      <c r="AO6" s="108"/>
      <c r="AP6" s="107"/>
      <c r="AQ6" s="108"/>
      <c r="AR6" s="108"/>
      <c r="AS6" s="108"/>
      <c r="AT6" s="107"/>
      <c r="AU6" s="108"/>
      <c r="AV6" s="108"/>
      <c r="AW6" s="108"/>
      <c r="AX6" s="107"/>
      <c r="AY6" s="108"/>
      <c r="AZ6" s="108"/>
      <c r="BA6" s="108"/>
      <c r="BE6" s="86"/>
    </row>
    <row r="7" spans="2:57" s="27" customFormat="1" ht="16.5" thickBot="1" x14ac:dyDescent="0.3">
      <c r="B7" s="28"/>
      <c r="C7" s="33"/>
      <c r="D7" s="34" t="s">
        <v>0</v>
      </c>
      <c r="E7" s="34" t="s">
        <v>7</v>
      </c>
      <c r="F7" s="35" t="s">
        <v>47</v>
      </c>
      <c r="G7" s="35" t="s">
        <v>48</v>
      </c>
      <c r="H7" s="35" t="s">
        <v>49</v>
      </c>
      <c r="I7" s="32" t="s">
        <v>50</v>
      </c>
      <c r="J7" s="35" t="s">
        <v>47</v>
      </c>
      <c r="K7" s="35" t="s">
        <v>48</v>
      </c>
      <c r="L7" s="35" t="s">
        <v>49</v>
      </c>
      <c r="M7" s="32" t="s">
        <v>50</v>
      </c>
      <c r="N7" s="35" t="s">
        <v>47</v>
      </c>
      <c r="O7" s="35" t="s">
        <v>48</v>
      </c>
      <c r="P7" s="35" t="s">
        <v>49</v>
      </c>
      <c r="Q7" s="32" t="s">
        <v>50</v>
      </c>
      <c r="R7" s="35" t="s">
        <v>47</v>
      </c>
      <c r="S7" s="35" t="s">
        <v>48</v>
      </c>
      <c r="T7" s="35" t="s">
        <v>49</v>
      </c>
      <c r="U7" s="32" t="s">
        <v>50</v>
      </c>
      <c r="V7" s="35" t="s">
        <v>47</v>
      </c>
      <c r="W7" s="35" t="s">
        <v>48</v>
      </c>
      <c r="X7" s="35" t="s">
        <v>49</v>
      </c>
      <c r="Y7" s="32" t="s">
        <v>50</v>
      </c>
      <c r="Z7" s="35" t="s">
        <v>47</v>
      </c>
      <c r="AA7" s="35" t="s">
        <v>48</v>
      </c>
      <c r="AB7" s="35" t="s">
        <v>49</v>
      </c>
      <c r="AC7" s="32" t="s">
        <v>50</v>
      </c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E7" s="86"/>
    </row>
    <row r="8" spans="2:57" s="18" customFormat="1" ht="18.75" thickBot="1" x14ac:dyDescent="0.3">
      <c r="B8" s="36"/>
      <c r="C8" s="37" t="s">
        <v>4</v>
      </c>
      <c r="D8" s="38"/>
      <c r="E8" s="39"/>
      <c r="F8" s="126"/>
      <c r="G8" s="127"/>
      <c r="H8" s="128"/>
      <c r="I8" s="129"/>
      <c r="J8" s="1"/>
      <c r="K8" s="2"/>
      <c r="L8" s="3"/>
      <c r="M8" s="4"/>
      <c r="N8" s="1"/>
      <c r="O8" s="2"/>
      <c r="P8" s="3"/>
      <c r="Q8" s="4"/>
      <c r="R8" s="1"/>
      <c r="S8" s="2"/>
      <c r="T8" s="3"/>
      <c r="U8" s="4"/>
      <c r="V8" s="1"/>
      <c r="W8" s="2"/>
      <c r="X8" s="3"/>
      <c r="Y8" s="4"/>
      <c r="Z8" s="1"/>
      <c r="AA8" s="2"/>
      <c r="AB8" s="3"/>
      <c r="AC8" s="4"/>
      <c r="AD8" s="1"/>
      <c r="AE8" s="2"/>
      <c r="AF8" s="3"/>
      <c r="AG8" s="4"/>
      <c r="AH8" s="1"/>
      <c r="AI8" s="2"/>
      <c r="AJ8" s="3"/>
      <c r="AK8" s="4"/>
      <c r="AL8" s="1"/>
      <c r="AM8" s="2"/>
      <c r="AN8" s="3"/>
      <c r="AO8" s="4"/>
      <c r="AP8" s="1"/>
      <c r="AQ8" s="2"/>
      <c r="AR8" s="3"/>
      <c r="AS8" s="4"/>
      <c r="AT8" s="1"/>
      <c r="AU8" s="2"/>
      <c r="AV8" s="3"/>
      <c r="AW8" s="4"/>
      <c r="AX8" s="1"/>
      <c r="AY8" s="2"/>
      <c r="AZ8" s="3"/>
      <c r="BA8" s="4"/>
      <c r="BB8" s="40"/>
      <c r="BC8" s="40"/>
    </row>
    <row r="9" spans="2:57" s="18" customFormat="1" ht="17.25" customHeight="1" thickBot="1" x14ac:dyDescent="0.3">
      <c r="B9" s="19"/>
      <c r="C9" s="93" t="s">
        <v>30</v>
      </c>
      <c r="D9" s="41">
        <f>SUM(F9:BA9)</f>
        <v>2</v>
      </c>
      <c r="E9" s="42"/>
      <c r="F9" s="130">
        <v>0.5</v>
      </c>
      <c r="G9" s="130">
        <v>0.5</v>
      </c>
      <c r="H9" s="130">
        <v>0.5</v>
      </c>
      <c r="I9" s="130">
        <v>0.5</v>
      </c>
      <c r="J9" s="7"/>
      <c r="K9" s="5"/>
      <c r="L9" s="5"/>
      <c r="M9" s="6"/>
      <c r="N9" s="7"/>
      <c r="O9" s="5"/>
      <c r="P9" s="5"/>
      <c r="Q9" s="6"/>
      <c r="R9" s="7"/>
      <c r="S9" s="5"/>
      <c r="T9" s="5"/>
      <c r="U9" s="6"/>
      <c r="V9" s="7"/>
      <c r="W9" s="5"/>
      <c r="X9" s="5"/>
      <c r="Y9" s="6"/>
      <c r="Z9" s="7"/>
      <c r="AA9" s="5"/>
      <c r="AB9" s="5"/>
      <c r="AC9" s="6"/>
      <c r="AD9" s="7"/>
      <c r="AE9" s="5"/>
      <c r="AF9" s="5"/>
      <c r="AG9" s="6"/>
      <c r="AH9" s="7"/>
      <c r="AI9" s="5"/>
      <c r="AJ9" s="5"/>
      <c r="AK9" s="6"/>
      <c r="AL9" s="7"/>
      <c r="AM9" s="5"/>
      <c r="AN9" s="5"/>
      <c r="AO9" s="6"/>
      <c r="AP9" s="7"/>
      <c r="AQ9" s="5"/>
      <c r="AR9" s="5"/>
      <c r="AS9" s="6"/>
      <c r="AT9" s="7"/>
      <c r="AU9" s="5"/>
      <c r="AV9" s="5"/>
      <c r="AW9" s="6"/>
      <c r="AX9" s="7"/>
      <c r="AY9" s="5"/>
      <c r="AZ9" s="5"/>
      <c r="BA9" s="6"/>
    </row>
    <row r="10" spans="2:57" s="18" customFormat="1" ht="17.25" customHeight="1" thickBot="1" x14ac:dyDescent="0.3">
      <c r="B10" s="19"/>
      <c r="C10" s="93"/>
      <c r="D10" s="43"/>
      <c r="E10" s="44">
        <f>SUM(F10:BA10)</f>
        <v>2</v>
      </c>
      <c r="F10" s="131">
        <v>0.5</v>
      </c>
      <c r="G10" s="131">
        <v>0.5</v>
      </c>
      <c r="H10" s="131">
        <v>0.5</v>
      </c>
      <c r="I10" s="131">
        <v>0.5</v>
      </c>
      <c r="J10" s="7"/>
      <c r="K10" s="5"/>
      <c r="L10" s="5"/>
      <c r="M10" s="6"/>
      <c r="N10" s="7"/>
      <c r="O10" s="5"/>
      <c r="P10" s="5"/>
      <c r="Q10" s="6"/>
      <c r="R10" s="7"/>
      <c r="S10" s="5"/>
      <c r="T10" s="5"/>
      <c r="U10" s="6"/>
      <c r="V10" s="7"/>
      <c r="W10" s="5"/>
      <c r="X10" s="5"/>
      <c r="Y10" s="6"/>
      <c r="Z10" s="7"/>
      <c r="AA10" s="5"/>
      <c r="AB10" s="5"/>
      <c r="AC10" s="6"/>
      <c r="AD10" s="7"/>
      <c r="AE10" s="5"/>
      <c r="AF10" s="5"/>
      <c r="AG10" s="6"/>
      <c r="AH10" s="7"/>
      <c r="AI10" s="5"/>
      <c r="AJ10" s="5"/>
      <c r="AK10" s="6"/>
      <c r="AL10" s="7"/>
      <c r="AM10" s="5"/>
      <c r="AN10" s="5"/>
      <c r="AO10" s="6"/>
      <c r="AP10" s="7"/>
      <c r="AQ10" s="5"/>
      <c r="AR10" s="5"/>
      <c r="AS10" s="6"/>
      <c r="AT10" s="7"/>
      <c r="AU10" s="5"/>
      <c r="AV10" s="5"/>
      <c r="AW10" s="6"/>
      <c r="AX10" s="7"/>
      <c r="AY10" s="5"/>
      <c r="AZ10" s="5"/>
      <c r="BA10" s="6"/>
    </row>
    <row r="11" spans="2:57" s="18" customFormat="1" ht="16.5" thickBot="1" x14ac:dyDescent="0.3">
      <c r="B11" s="19"/>
      <c r="C11" s="93" t="s">
        <v>31</v>
      </c>
      <c r="D11" s="41">
        <f>SUM(F11:BA11)</f>
        <v>4</v>
      </c>
      <c r="E11" s="42"/>
      <c r="F11" s="130">
        <v>1</v>
      </c>
      <c r="G11" s="130">
        <v>1</v>
      </c>
      <c r="H11" s="130">
        <v>1</v>
      </c>
      <c r="I11" s="130">
        <v>1</v>
      </c>
      <c r="J11" s="7"/>
      <c r="K11" s="5"/>
      <c r="L11" s="5"/>
      <c r="M11" s="6"/>
      <c r="N11" s="7"/>
      <c r="O11" s="5"/>
      <c r="P11" s="5"/>
      <c r="Q11" s="6"/>
      <c r="R11" s="7"/>
      <c r="S11" s="5"/>
      <c r="T11" s="5"/>
      <c r="U11" s="6"/>
      <c r="V11" s="7"/>
      <c r="W11" s="5"/>
      <c r="X11" s="5"/>
      <c r="Y11" s="6"/>
      <c r="Z11" s="7"/>
      <c r="AA11" s="5"/>
      <c r="AB11" s="5"/>
      <c r="AC11" s="6"/>
      <c r="AD11" s="7"/>
      <c r="AE11" s="5"/>
      <c r="AF11" s="5"/>
      <c r="AG11" s="6"/>
      <c r="AH11" s="7"/>
      <c r="AI11" s="5"/>
      <c r="AJ11" s="5"/>
      <c r="AK11" s="6"/>
      <c r="AL11" s="7"/>
      <c r="AM11" s="5"/>
      <c r="AN11" s="5"/>
      <c r="AO11" s="6"/>
      <c r="AP11" s="7"/>
      <c r="AQ11" s="5"/>
      <c r="AR11" s="5"/>
      <c r="AS11" s="6"/>
      <c r="AT11" s="7"/>
      <c r="AU11" s="5"/>
      <c r="AV11" s="5"/>
      <c r="AW11" s="6"/>
      <c r="AX11" s="7"/>
      <c r="AY11" s="5"/>
      <c r="AZ11" s="5"/>
      <c r="BA11" s="6"/>
    </row>
    <row r="12" spans="2:57" s="18" customFormat="1" ht="16.5" thickBot="1" x14ac:dyDescent="0.3">
      <c r="B12" s="19"/>
      <c r="C12" s="93"/>
      <c r="D12" s="43"/>
      <c r="E12" s="44">
        <f>SUM(F12:BA12)</f>
        <v>4</v>
      </c>
      <c r="F12" s="131">
        <v>1</v>
      </c>
      <c r="G12" s="131">
        <v>1</v>
      </c>
      <c r="H12" s="131">
        <v>1</v>
      </c>
      <c r="I12" s="131">
        <v>1</v>
      </c>
      <c r="J12" s="7"/>
      <c r="K12" s="5"/>
      <c r="L12" s="5"/>
      <c r="M12" s="6"/>
      <c r="N12" s="7"/>
      <c r="O12" s="5"/>
      <c r="P12" s="5"/>
      <c r="Q12" s="6"/>
      <c r="R12" s="7"/>
      <c r="S12" s="5"/>
      <c r="T12" s="5"/>
      <c r="U12" s="6"/>
      <c r="V12" s="7"/>
      <c r="W12" s="5"/>
      <c r="X12" s="5"/>
      <c r="Y12" s="6"/>
      <c r="Z12" s="7"/>
      <c r="AA12" s="5"/>
      <c r="AB12" s="5"/>
      <c r="AC12" s="6"/>
      <c r="AD12" s="7"/>
      <c r="AE12" s="5"/>
      <c r="AF12" s="5"/>
      <c r="AG12" s="6"/>
      <c r="AH12" s="7"/>
      <c r="AI12" s="5"/>
      <c r="AJ12" s="5"/>
      <c r="AK12" s="6"/>
      <c r="AL12" s="7"/>
      <c r="AM12" s="5"/>
      <c r="AN12" s="5"/>
      <c r="AO12" s="6"/>
      <c r="AP12" s="7"/>
      <c r="AQ12" s="5"/>
      <c r="AR12" s="5"/>
      <c r="AS12" s="6"/>
      <c r="AT12" s="7"/>
      <c r="AU12" s="5"/>
      <c r="AV12" s="5"/>
      <c r="AW12" s="6"/>
      <c r="AX12" s="7"/>
      <c r="AY12" s="5"/>
      <c r="AZ12" s="5"/>
      <c r="BA12" s="6"/>
    </row>
    <row r="13" spans="2:57" s="18" customFormat="1" ht="16.5" thickBot="1" x14ac:dyDescent="0.3">
      <c r="B13" s="19"/>
      <c r="C13" s="93" t="s">
        <v>32</v>
      </c>
      <c r="D13" s="41">
        <f>SUM(F13:BA13)</f>
        <v>1.5</v>
      </c>
      <c r="E13" s="42"/>
      <c r="F13" s="130">
        <v>0.4</v>
      </c>
      <c r="G13" s="130">
        <v>0.5</v>
      </c>
      <c r="H13" s="130">
        <v>0.3</v>
      </c>
      <c r="I13" s="130">
        <v>0.3</v>
      </c>
      <c r="J13" s="7"/>
      <c r="K13" s="5"/>
      <c r="L13" s="5"/>
      <c r="M13" s="6"/>
      <c r="N13" s="7"/>
      <c r="O13" s="5"/>
      <c r="P13" s="5"/>
      <c r="Q13" s="6"/>
      <c r="R13" s="7"/>
      <c r="S13" s="5"/>
      <c r="T13" s="5"/>
      <c r="U13" s="6"/>
      <c r="V13" s="7"/>
      <c r="W13" s="5"/>
      <c r="X13" s="5"/>
      <c r="Y13" s="6"/>
      <c r="Z13" s="7"/>
      <c r="AA13" s="5"/>
      <c r="AB13" s="5"/>
      <c r="AC13" s="6"/>
      <c r="AD13" s="7"/>
      <c r="AE13" s="5"/>
      <c r="AF13" s="5"/>
      <c r="AG13" s="6"/>
      <c r="AH13" s="7"/>
      <c r="AI13" s="5"/>
      <c r="AJ13" s="5"/>
      <c r="AK13" s="6"/>
      <c r="AL13" s="7"/>
      <c r="AM13" s="5"/>
      <c r="AN13" s="5"/>
      <c r="AO13" s="6"/>
      <c r="AP13" s="7"/>
      <c r="AQ13" s="5"/>
      <c r="AR13" s="5"/>
      <c r="AS13" s="6"/>
      <c r="AT13" s="7"/>
      <c r="AU13" s="5"/>
      <c r="AV13" s="5"/>
      <c r="AW13" s="6"/>
      <c r="AX13" s="7"/>
      <c r="AY13" s="5"/>
      <c r="AZ13" s="5"/>
      <c r="BA13" s="6"/>
    </row>
    <row r="14" spans="2:57" s="18" customFormat="1" ht="16.5" thickBot="1" x14ac:dyDescent="0.3">
      <c r="B14" s="19"/>
      <c r="C14" s="93"/>
      <c r="D14" s="43"/>
      <c r="E14" s="44">
        <f>SUM(F14:BA14)</f>
        <v>1.5</v>
      </c>
      <c r="F14" s="131">
        <v>0.4</v>
      </c>
      <c r="G14" s="131">
        <v>0.5</v>
      </c>
      <c r="H14" s="131">
        <v>0.3</v>
      </c>
      <c r="I14" s="131">
        <v>0.3</v>
      </c>
      <c r="J14" s="7"/>
      <c r="K14" s="5"/>
      <c r="L14" s="5"/>
      <c r="M14" s="6"/>
      <c r="N14" s="7"/>
      <c r="O14" s="5"/>
      <c r="P14" s="5"/>
      <c r="Q14" s="6"/>
      <c r="R14" s="7"/>
      <c r="S14" s="5"/>
      <c r="T14" s="5"/>
      <c r="U14" s="6"/>
      <c r="V14" s="7"/>
      <c r="W14" s="5"/>
      <c r="X14" s="5"/>
      <c r="Y14" s="6"/>
      <c r="Z14" s="7"/>
      <c r="AA14" s="5"/>
      <c r="AB14" s="5"/>
      <c r="AC14" s="6"/>
      <c r="AD14" s="7"/>
      <c r="AE14" s="5"/>
      <c r="AF14" s="5"/>
      <c r="AG14" s="6"/>
      <c r="AH14" s="7"/>
      <c r="AI14" s="5"/>
      <c r="AJ14" s="5"/>
      <c r="AK14" s="6"/>
      <c r="AL14" s="7"/>
      <c r="AM14" s="5"/>
      <c r="AN14" s="5"/>
      <c r="AO14" s="6"/>
      <c r="AP14" s="7"/>
      <c r="AQ14" s="5"/>
      <c r="AR14" s="5"/>
      <c r="AS14" s="6"/>
      <c r="AT14" s="7"/>
      <c r="AU14" s="5"/>
      <c r="AV14" s="5"/>
      <c r="AW14" s="6"/>
      <c r="AX14" s="7"/>
      <c r="AY14" s="5"/>
      <c r="AZ14" s="5"/>
      <c r="BA14" s="6"/>
    </row>
    <row r="15" spans="2:57" s="18" customFormat="1" ht="16.5" thickBot="1" x14ac:dyDescent="0.3">
      <c r="B15" s="19"/>
      <c r="C15" s="93" t="s">
        <v>33</v>
      </c>
      <c r="D15" s="41">
        <f>SUM(F15:BA15)</f>
        <v>4.5</v>
      </c>
      <c r="E15" s="42"/>
      <c r="F15" s="130">
        <v>0.25</v>
      </c>
      <c r="G15" s="130">
        <v>0.25</v>
      </c>
      <c r="H15" s="130">
        <v>2</v>
      </c>
      <c r="I15" s="130">
        <v>2</v>
      </c>
      <c r="J15" s="7"/>
      <c r="K15" s="5"/>
      <c r="L15" s="8"/>
      <c r="M15" s="6"/>
      <c r="N15" s="7"/>
      <c r="O15" s="5"/>
      <c r="P15" s="8"/>
      <c r="Q15" s="6"/>
      <c r="R15" s="7"/>
      <c r="S15" s="5"/>
      <c r="T15" s="8"/>
      <c r="U15" s="6"/>
      <c r="V15" s="7"/>
      <c r="W15" s="5"/>
      <c r="X15" s="8"/>
      <c r="Y15" s="6"/>
      <c r="Z15" s="7"/>
      <c r="AA15" s="5"/>
      <c r="AB15" s="8"/>
      <c r="AC15" s="6"/>
      <c r="AD15" s="7"/>
      <c r="AE15" s="5"/>
      <c r="AF15" s="8"/>
      <c r="AG15" s="6"/>
      <c r="AH15" s="7"/>
      <c r="AI15" s="5"/>
      <c r="AJ15" s="8"/>
      <c r="AK15" s="6"/>
      <c r="AL15" s="7"/>
      <c r="AM15" s="5"/>
      <c r="AN15" s="8"/>
      <c r="AO15" s="6"/>
      <c r="AP15" s="7"/>
      <c r="AQ15" s="5"/>
      <c r="AR15" s="8"/>
      <c r="AS15" s="6"/>
      <c r="AT15" s="7"/>
      <c r="AU15" s="5"/>
      <c r="AV15" s="8"/>
      <c r="AW15" s="6"/>
      <c r="AX15" s="7"/>
      <c r="AY15" s="5"/>
      <c r="AZ15" s="8"/>
      <c r="BA15" s="6"/>
    </row>
    <row r="16" spans="2:57" s="18" customFormat="1" ht="16.5" thickBot="1" x14ac:dyDescent="0.3">
      <c r="B16" s="19"/>
      <c r="C16" s="93"/>
      <c r="D16" s="43"/>
      <c r="E16" s="44">
        <f>SUM(F16:BA16)</f>
        <v>4.5</v>
      </c>
      <c r="F16" s="131">
        <v>0.25</v>
      </c>
      <c r="G16" s="131">
        <v>0.25</v>
      </c>
      <c r="H16" s="131">
        <v>2</v>
      </c>
      <c r="I16" s="131">
        <v>2</v>
      </c>
      <c r="J16" s="7"/>
      <c r="K16" s="5"/>
      <c r="L16" s="5"/>
      <c r="M16" s="6"/>
      <c r="N16" s="7"/>
      <c r="O16" s="5"/>
      <c r="P16" s="5"/>
      <c r="Q16" s="6"/>
      <c r="R16" s="7"/>
      <c r="S16" s="5"/>
      <c r="T16" s="5"/>
      <c r="U16" s="6"/>
      <c r="V16" s="7"/>
      <c r="W16" s="5"/>
      <c r="X16" s="5"/>
      <c r="Y16" s="6"/>
      <c r="Z16" s="7"/>
      <c r="AA16" s="5"/>
      <c r="AB16" s="5"/>
      <c r="AC16" s="6"/>
      <c r="AD16" s="7"/>
      <c r="AE16" s="5"/>
      <c r="AF16" s="5"/>
      <c r="AG16" s="6"/>
      <c r="AH16" s="7"/>
      <c r="AI16" s="5"/>
      <c r="AJ16" s="5"/>
      <c r="AK16" s="6"/>
      <c r="AL16" s="7"/>
      <c r="AM16" s="5"/>
      <c r="AN16" s="5"/>
      <c r="AO16" s="6"/>
      <c r="AP16" s="7"/>
      <c r="AQ16" s="5"/>
      <c r="AR16" s="5"/>
      <c r="AS16" s="6"/>
      <c r="AT16" s="7"/>
      <c r="AU16" s="5"/>
      <c r="AV16" s="5"/>
      <c r="AW16" s="6"/>
      <c r="AX16" s="7"/>
      <c r="AY16" s="5"/>
      <c r="AZ16" s="5"/>
      <c r="BA16" s="6"/>
    </row>
    <row r="17" spans="2:53" s="18" customFormat="1" ht="16.5" thickBot="1" x14ac:dyDescent="0.3">
      <c r="B17" s="19"/>
      <c r="C17" s="93" t="s">
        <v>34</v>
      </c>
      <c r="D17" s="41">
        <f>SUM(F17:BA17)</f>
        <v>2</v>
      </c>
      <c r="E17" s="42"/>
      <c r="F17" s="130">
        <v>0.5</v>
      </c>
      <c r="G17" s="130">
        <v>0.5</v>
      </c>
      <c r="H17" s="130">
        <v>0.5</v>
      </c>
      <c r="I17" s="130">
        <v>0.5</v>
      </c>
      <c r="J17" s="7"/>
      <c r="K17" s="5"/>
      <c r="L17" s="5"/>
      <c r="M17" s="6"/>
      <c r="N17" s="7"/>
      <c r="O17" s="5"/>
      <c r="P17" s="5"/>
      <c r="Q17" s="6"/>
      <c r="R17" s="7"/>
      <c r="S17" s="5"/>
      <c r="T17" s="5"/>
      <c r="U17" s="6"/>
      <c r="V17" s="7"/>
      <c r="W17" s="5"/>
      <c r="X17" s="5"/>
      <c r="Y17" s="6"/>
      <c r="Z17" s="7"/>
      <c r="AA17" s="5"/>
      <c r="AB17" s="5"/>
      <c r="AC17" s="6"/>
      <c r="AD17" s="7"/>
      <c r="AE17" s="5"/>
      <c r="AF17" s="5"/>
      <c r="AG17" s="6"/>
      <c r="AH17" s="7"/>
      <c r="AI17" s="5"/>
      <c r="AJ17" s="5"/>
      <c r="AK17" s="6"/>
      <c r="AL17" s="7"/>
      <c r="AM17" s="5"/>
      <c r="AN17" s="5"/>
      <c r="AO17" s="6"/>
      <c r="AP17" s="7"/>
      <c r="AQ17" s="5"/>
      <c r="AR17" s="5"/>
      <c r="AS17" s="6"/>
      <c r="AT17" s="7"/>
      <c r="AU17" s="5"/>
      <c r="AV17" s="5"/>
      <c r="AW17" s="6"/>
      <c r="AX17" s="7"/>
      <c r="AY17" s="5"/>
      <c r="AZ17" s="5"/>
      <c r="BA17" s="6"/>
    </row>
    <row r="18" spans="2:53" s="18" customFormat="1" ht="16.5" thickBot="1" x14ac:dyDescent="0.3">
      <c r="B18" s="19"/>
      <c r="C18" s="93"/>
      <c r="D18" s="43"/>
      <c r="E18" s="44">
        <f>SUM(F18:BA18)</f>
        <v>2</v>
      </c>
      <c r="F18" s="131">
        <v>0.5</v>
      </c>
      <c r="G18" s="131">
        <v>0.5</v>
      </c>
      <c r="H18" s="131">
        <v>0.5</v>
      </c>
      <c r="I18" s="131">
        <v>0.5</v>
      </c>
      <c r="J18" s="7"/>
      <c r="K18" s="5"/>
      <c r="L18" s="5"/>
      <c r="M18" s="6"/>
      <c r="N18" s="7"/>
      <c r="O18" s="5"/>
      <c r="P18" s="5"/>
      <c r="Q18" s="6"/>
      <c r="R18" s="7"/>
      <c r="S18" s="5"/>
      <c r="T18" s="5"/>
      <c r="U18" s="6"/>
      <c r="V18" s="7"/>
      <c r="W18" s="5"/>
      <c r="X18" s="5"/>
      <c r="Y18" s="6"/>
      <c r="Z18" s="7"/>
      <c r="AA18" s="5"/>
      <c r="AB18" s="5"/>
      <c r="AC18" s="6"/>
      <c r="AD18" s="7"/>
      <c r="AE18" s="5"/>
      <c r="AF18" s="5"/>
      <c r="AG18" s="6"/>
      <c r="AH18" s="7"/>
      <c r="AI18" s="5"/>
      <c r="AJ18" s="5"/>
      <c r="AK18" s="6"/>
      <c r="AL18" s="7"/>
      <c r="AM18" s="5"/>
      <c r="AN18" s="5"/>
      <c r="AO18" s="6"/>
      <c r="AP18" s="7"/>
      <c r="AQ18" s="5"/>
      <c r="AR18" s="5"/>
      <c r="AS18" s="6"/>
      <c r="AT18" s="7"/>
      <c r="AU18" s="5"/>
      <c r="AV18" s="5"/>
      <c r="AW18" s="6"/>
      <c r="AX18" s="7"/>
      <c r="AY18" s="5"/>
      <c r="AZ18" s="5"/>
      <c r="BA18" s="6"/>
    </row>
    <row r="19" spans="2:53" s="18" customFormat="1" ht="16.5" thickBot="1" x14ac:dyDescent="0.3">
      <c r="B19" s="19"/>
      <c r="C19" s="93"/>
      <c r="D19" s="41"/>
      <c r="E19" s="42"/>
      <c r="F19" s="7"/>
      <c r="G19" s="7"/>
      <c r="H19" s="7"/>
      <c r="I19" s="7"/>
      <c r="J19" s="7"/>
      <c r="K19" s="5"/>
      <c r="L19" s="5"/>
      <c r="M19" s="6"/>
      <c r="N19" s="7"/>
      <c r="O19" s="5"/>
      <c r="P19" s="5"/>
      <c r="Q19" s="6"/>
      <c r="R19" s="7"/>
      <c r="S19" s="5"/>
      <c r="T19" s="5"/>
      <c r="U19" s="6"/>
      <c r="V19" s="7"/>
      <c r="W19" s="5"/>
      <c r="X19" s="5"/>
      <c r="Y19" s="6"/>
      <c r="Z19" s="7"/>
      <c r="AA19" s="5"/>
      <c r="AB19" s="5"/>
      <c r="AC19" s="6"/>
      <c r="AD19" s="7"/>
      <c r="AE19" s="5"/>
      <c r="AF19" s="5"/>
      <c r="AG19" s="6"/>
      <c r="AH19" s="7"/>
      <c r="AI19" s="5"/>
      <c r="AJ19" s="5"/>
      <c r="AK19" s="6"/>
      <c r="AL19" s="7"/>
      <c r="AM19" s="5"/>
      <c r="AN19" s="5"/>
      <c r="AO19" s="6"/>
      <c r="AP19" s="7"/>
      <c r="AQ19" s="5"/>
      <c r="AR19" s="5"/>
      <c r="AS19" s="6"/>
      <c r="AT19" s="7"/>
      <c r="AU19" s="5"/>
      <c r="AV19" s="5"/>
      <c r="AW19" s="6"/>
      <c r="AX19" s="7"/>
      <c r="AY19" s="5"/>
      <c r="AZ19" s="5"/>
      <c r="BA19" s="6"/>
    </row>
    <row r="20" spans="2:53" s="18" customFormat="1" ht="16.5" thickBot="1" x14ac:dyDescent="0.3">
      <c r="B20" s="19"/>
      <c r="C20" s="93"/>
      <c r="D20" s="43"/>
      <c r="E20" s="44"/>
      <c r="F20" s="7"/>
      <c r="G20" s="7"/>
      <c r="H20" s="7"/>
      <c r="I20" s="7"/>
      <c r="J20" s="7"/>
      <c r="K20" s="5"/>
      <c r="L20" s="5"/>
      <c r="M20" s="6"/>
      <c r="N20" s="7"/>
      <c r="O20" s="5"/>
      <c r="P20" s="5"/>
      <c r="Q20" s="6"/>
      <c r="R20" s="7"/>
      <c r="S20" s="5"/>
      <c r="T20" s="5"/>
      <c r="U20" s="6"/>
      <c r="V20" s="7"/>
      <c r="W20" s="5"/>
      <c r="X20" s="5"/>
      <c r="Y20" s="6"/>
      <c r="Z20" s="7"/>
      <c r="AA20" s="5"/>
      <c r="AB20" s="5"/>
      <c r="AC20" s="6"/>
      <c r="AD20" s="7"/>
      <c r="AE20" s="5"/>
      <c r="AF20" s="5"/>
      <c r="AG20" s="6"/>
      <c r="AH20" s="7"/>
      <c r="AI20" s="5"/>
      <c r="AJ20" s="5"/>
      <c r="AK20" s="6"/>
      <c r="AL20" s="7"/>
      <c r="AM20" s="5"/>
      <c r="AN20" s="5"/>
      <c r="AO20" s="6"/>
      <c r="AP20" s="7"/>
      <c r="AQ20" s="5"/>
      <c r="AR20" s="5"/>
      <c r="AS20" s="6"/>
      <c r="AT20" s="7"/>
      <c r="AU20" s="5"/>
      <c r="AV20" s="5"/>
      <c r="AW20" s="6"/>
      <c r="AX20" s="7"/>
      <c r="AY20" s="5"/>
      <c r="AZ20" s="5"/>
      <c r="BA20" s="6"/>
    </row>
    <row r="21" spans="2:53" s="18" customFormat="1" ht="18.75" thickBot="1" x14ac:dyDescent="0.3">
      <c r="B21" s="19"/>
      <c r="C21" s="45"/>
      <c r="D21" s="46"/>
      <c r="E21" s="47"/>
      <c r="F21" s="7"/>
      <c r="G21" s="5"/>
      <c r="H21" s="5"/>
      <c r="I21" s="6"/>
      <c r="J21" s="7"/>
      <c r="K21" s="5"/>
      <c r="L21" s="5"/>
      <c r="M21" s="6"/>
      <c r="N21" s="7"/>
      <c r="O21" s="5"/>
      <c r="P21" s="5"/>
      <c r="Q21" s="6"/>
      <c r="R21" s="7"/>
      <c r="S21" s="5"/>
      <c r="T21" s="5"/>
      <c r="U21" s="6"/>
      <c r="V21" s="7"/>
      <c r="W21" s="5"/>
      <c r="X21" s="5"/>
      <c r="Y21" s="6"/>
      <c r="Z21" s="7"/>
      <c r="AA21" s="5"/>
      <c r="AB21" s="5"/>
      <c r="AC21" s="6"/>
      <c r="AD21" s="7"/>
      <c r="AE21" s="5"/>
      <c r="AF21" s="5"/>
      <c r="AG21" s="6"/>
      <c r="AH21" s="7"/>
      <c r="AI21" s="5"/>
      <c r="AJ21" s="5"/>
      <c r="AK21" s="6"/>
      <c r="AL21" s="7"/>
      <c r="AM21" s="5"/>
      <c r="AN21" s="5"/>
      <c r="AO21" s="6"/>
      <c r="AP21" s="7"/>
      <c r="AQ21" s="5"/>
      <c r="AR21" s="5"/>
      <c r="AS21" s="6"/>
      <c r="AT21" s="7"/>
      <c r="AU21" s="5"/>
      <c r="AV21" s="5"/>
      <c r="AW21" s="6"/>
      <c r="AX21" s="7"/>
      <c r="AY21" s="5"/>
      <c r="AZ21" s="5"/>
      <c r="BA21" s="6"/>
    </row>
    <row r="22" spans="2:53" s="18" customFormat="1" ht="18.75" thickBot="1" x14ac:dyDescent="0.3">
      <c r="B22" s="36"/>
      <c r="C22" s="48" t="s">
        <v>5</v>
      </c>
      <c r="D22" s="49"/>
      <c r="E22" s="50"/>
      <c r="F22" s="12"/>
      <c r="G22" s="13"/>
      <c r="H22" s="13"/>
      <c r="I22" s="14"/>
      <c r="J22" s="132"/>
      <c r="K22" s="133"/>
      <c r="L22" s="133"/>
      <c r="M22" s="134"/>
      <c r="N22" s="9"/>
      <c r="O22" s="10"/>
      <c r="P22" s="10"/>
      <c r="Q22" s="11"/>
      <c r="R22" s="9"/>
      <c r="S22" s="10"/>
      <c r="T22" s="10"/>
      <c r="U22" s="11"/>
      <c r="V22" s="9"/>
      <c r="W22" s="10"/>
      <c r="X22" s="10"/>
      <c r="Y22" s="11"/>
      <c r="Z22" s="9"/>
      <c r="AA22" s="10"/>
      <c r="AB22" s="10"/>
      <c r="AC22" s="11"/>
      <c r="AD22" s="9"/>
      <c r="AE22" s="10"/>
      <c r="AF22" s="10"/>
      <c r="AG22" s="11"/>
      <c r="AH22" s="9"/>
      <c r="AI22" s="10"/>
      <c r="AJ22" s="10"/>
      <c r="AK22" s="11"/>
      <c r="AL22" s="9"/>
      <c r="AM22" s="10"/>
      <c r="AN22" s="10"/>
      <c r="AO22" s="11"/>
      <c r="AP22" s="9"/>
      <c r="AQ22" s="10"/>
      <c r="AR22" s="10"/>
      <c r="AS22" s="11"/>
      <c r="AT22" s="9"/>
      <c r="AU22" s="10"/>
      <c r="AV22" s="10"/>
      <c r="AW22" s="11"/>
      <c r="AX22" s="9"/>
      <c r="AY22" s="10"/>
      <c r="AZ22" s="10"/>
      <c r="BA22" s="11"/>
    </row>
    <row r="23" spans="2:53" s="18" customFormat="1" ht="15.75" x14ac:dyDescent="0.25">
      <c r="B23" s="19"/>
      <c r="C23" s="104" t="s">
        <v>25</v>
      </c>
      <c r="D23" s="41">
        <f>SUM(F23:BA23)</f>
        <v>2</v>
      </c>
      <c r="E23" s="42"/>
      <c r="F23" s="7"/>
      <c r="G23" s="5"/>
      <c r="H23" s="5"/>
      <c r="I23" s="6"/>
      <c r="J23" s="135">
        <v>0.5</v>
      </c>
      <c r="K23" s="136">
        <v>0.5</v>
      </c>
      <c r="L23" s="136">
        <v>0.5</v>
      </c>
      <c r="M23" s="137">
        <v>0.5</v>
      </c>
      <c r="N23" s="7"/>
      <c r="O23" s="5"/>
      <c r="P23" s="5"/>
      <c r="Q23" s="6"/>
      <c r="R23" s="7"/>
      <c r="S23" s="5"/>
      <c r="T23" s="5"/>
      <c r="U23" s="6"/>
      <c r="V23" s="7"/>
      <c r="W23" s="5"/>
      <c r="X23" s="5"/>
      <c r="Y23" s="6"/>
      <c r="Z23" s="7"/>
      <c r="AA23" s="5"/>
      <c r="AB23" s="5"/>
      <c r="AC23" s="6"/>
      <c r="AD23" s="7"/>
      <c r="AE23" s="5"/>
      <c r="AF23" s="5"/>
      <c r="AG23" s="6"/>
      <c r="AH23" s="7"/>
      <c r="AI23" s="5"/>
      <c r="AJ23" s="5"/>
      <c r="AK23" s="6"/>
      <c r="AL23" s="7"/>
      <c r="AM23" s="5"/>
      <c r="AN23" s="5"/>
      <c r="AO23" s="6"/>
      <c r="AP23" s="7"/>
      <c r="AQ23" s="5"/>
      <c r="AR23" s="5"/>
      <c r="AS23" s="6"/>
      <c r="AT23" s="7"/>
      <c r="AU23" s="5"/>
      <c r="AV23" s="5"/>
      <c r="AW23" s="6"/>
      <c r="AX23" s="7"/>
      <c r="AY23" s="5"/>
      <c r="AZ23" s="5"/>
      <c r="BA23" s="6"/>
    </row>
    <row r="24" spans="2:53" s="18" customFormat="1" ht="16.5" thickBot="1" x14ac:dyDescent="0.3">
      <c r="B24" s="19"/>
      <c r="C24" s="105"/>
      <c r="D24" s="43"/>
      <c r="E24" s="44">
        <f>SUM(F24:BA24)</f>
        <v>2</v>
      </c>
      <c r="F24" s="7"/>
      <c r="G24" s="5"/>
      <c r="H24" s="5"/>
      <c r="I24" s="6"/>
      <c r="J24" s="138">
        <v>0.5</v>
      </c>
      <c r="K24" s="139">
        <v>0.5</v>
      </c>
      <c r="L24" s="139">
        <v>0.5</v>
      </c>
      <c r="M24" s="140">
        <v>0.5</v>
      </c>
      <c r="N24" s="7"/>
      <c r="O24" s="5"/>
      <c r="P24" s="5"/>
      <c r="Q24" s="6"/>
      <c r="R24" s="7"/>
      <c r="S24" s="5"/>
      <c r="T24" s="5"/>
      <c r="U24" s="6"/>
      <c r="V24" s="7"/>
      <c r="W24" s="5"/>
      <c r="X24" s="5"/>
      <c r="Y24" s="6"/>
      <c r="Z24" s="7"/>
      <c r="AA24" s="5"/>
      <c r="AB24" s="5"/>
      <c r="AC24" s="6"/>
      <c r="AD24" s="7"/>
      <c r="AE24" s="5"/>
      <c r="AF24" s="5"/>
      <c r="AG24" s="6"/>
      <c r="AH24" s="7"/>
      <c r="AI24" s="5"/>
      <c r="AJ24" s="5"/>
      <c r="AK24" s="6"/>
      <c r="AL24" s="7"/>
      <c r="AM24" s="5"/>
      <c r="AN24" s="5"/>
      <c r="AO24" s="6"/>
      <c r="AP24" s="7"/>
      <c r="AQ24" s="5"/>
      <c r="AR24" s="5"/>
      <c r="AS24" s="6"/>
      <c r="AT24" s="7"/>
      <c r="AU24" s="5"/>
      <c r="AV24" s="5"/>
      <c r="AW24" s="6"/>
      <c r="AX24" s="7"/>
      <c r="AY24" s="5"/>
      <c r="AZ24" s="5"/>
      <c r="BA24" s="6"/>
    </row>
    <row r="25" spans="2:53" s="18" customFormat="1" ht="16.5" thickBot="1" x14ac:dyDescent="0.3">
      <c r="B25" s="19"/>
      <c r="C25" s="93" t="s">
        <v>24</v>
      </c>
      <c r="D25" s="41">
        <f>SUM(F25:BA25)</f>
        <v>6</v>
      </c>
      <c r="E25" s="42"/>
      <c r="F25" s="7"/>
      <c r="G25" s="5"/>
      <c r="H25" s="5"/>
      <c r="I25" s="6"/>
      <c r="J25" s="135">
        <v>3</v>
      </c>
      <c r="K25" s="136">
        <v>3</v>
      </c>
      <c r="L25" s="136">
        <v>0</v>
      </c>
      <c r="M25" s="137">
        <v>0</v>
      </c>
      <c r="N25" s="7"/>
      <c r="O25" s="5"/>
      <c r="P25" s="5"/>
      <c r="Q25" s="6"/>
      <c r="R25" s="7"/>
      <c r="S25" s="5"/>
      <c r="T25" s="5"/>
      <c r="U25" s="6"/>
      <c r="V25" s="7"/>
      <c r="W25" s="5"/>
      <c r="X25" s="5"/>
      <c r="Y25" s="6"/>
      <c r="Z25" s="7"/>
      <c r="AA25" s="5"/>
      <c r="AB25" s="5"/>
      <c r="AC25" s="6"/>
      <c r="AD25" s="7"/>
      <c r="AE25" s="5"/>
      <c r="AF25" s="5"/>
      <c r="AG25" s="6"/>
      <c r="AH25" s="7"/>
      <c r="AI25" s="5"/>
      <c r="AJ25" s="5"/>
      <c r="AK25" s="6"/>
      <c r="AL25" s="7"/>
      <c r="AM25" s="5"/>
      <c r="AN25" s="5"/>
      <c r="AO25" s="6"/>
      <c r="AP25" s="7"/>
      <c r="AQ25" s="5"/>
      <c r="AR25" s="5"/>
      <c r="AS25" s="6"/>
      <c r="AT25" s="7"/>
      <c r="AU25" s="5"/>
      <c r="AV25" s="5"/>
      <c r="AW25" s="6"/>
      <c r="AX25" s="7"/>
      <c r="AY25" s="5"/>
      <c r="AZ25" s="5"/>
      <c r="BA25" s="6"/>
    </row>
    <row r="26" spans="2:53" s="18" customFormat="1" ht="16.5" thickBot="1" x14ac:dyDescent="0.3">
      <c r="B26" s="19"/>
      <c r="C26" s="93"/>
      <c r="D26" s="43"/>
      <c r="E26" s="44">
        <f>SUM(F26:BA26)</f>
        <v>4</v>
      </c>
      <c r="F26" s="7"/>
      <c r="G26" s="5"/>
      <c r="H26" s="5"/>
      <c r="I26" s="6"/>
      <c r="J26" s="138">
        <v>3</v>
      </c>
      <c r="K26" s="139">
        <v>1</v>
      </c>
      <c r="L26" s="139">
        <v>0</v>
      </c>
      <c r="M26" s="140">
        <v>0</v>
      </c>
      <c r="N26" s="7"/>
      <c r="O26" s="5"/>
      <c r="P26" s="5"/>
      <c r="Q26" s="6"/>
      <c r="R26" s="7"/>
      <c r="S26" s="5"/>
      <c r="T26" s="5"/>
      <c r="U26" s="6"/>
      <c r="V26" s="7"/>
      <c r="W26" s="5"/>
      <c r="X26" s="5"/>
      <c r="Y26" s="6"/>
      <c r="Z26" s="7"/>
      <c r="AA26" s="5"/>
      <c r="AB26" s="5"/>
      <c r="AC26" s="6"/>
      <c r="AD26" s="7"/>
      <c r="AE26" s="5"/>
      <c r="AF26" s="5"/>
      <c r="AG26" s="6"/>
      <c r="AH26" s="7"/>
      <c r="AI26" s="5"/>
      <c r="AJ26" s="5"/>
      <c r="AK26" s="6"/>
      <c r="AL26" s="7"/>
      <c r="AM26" s="5"/>
      <c r="AN26" s="5"/>
      <c r="AO26" s="6"/>
      <c r="AP26" s="7"/>
      <c r="AQ26" s="5"/>
      <c r="AR26" s="5"/>
      <c r="AS26" s="6"/>
      <c r="AT26" s="7"/>
      <c r="AU26" s="5"/>
      <c r="AV26" s="5"/>
      <c r="AW26" s="6"/>
      <c r="AX26" s="7"/>
      <c r="AY26" s="5"/>
      <c r="AZ26" s="5"/>
      <c r="BA26" s="6"/>
    </row>
    <row r="27" spans="2:53" s="18" customFormat="1" ht="16.5" thickBot="1" x14ac:dyDescent="0.3">
      <c r="B27" s="19"/>
      <c r="C27" s="93" t="s">
        <v>23</v>
      </c>
      <c r="D27" s="41">
        <f>SUM(F27:BA27)</f>
        <v>1.5</v>
      </c>
      <c r="E27" s="42"/>
      <c r="F27" s="7"/>
      <c r="G27" s="5"/>
      <c r="H27" s="5"/>
      <c r="I27" s="6"/>
      <c r="J27" s="135">
        <v>0</v>
      </c>
      <c r="K27" s="136">
        <v>0.25</v>
      </c>
      <c r="L27" s="136">
        <v>0.25</v>
      </c>
      <c r="M27" s="137">
        <v>1</v>
      </c>
      <c r="N27" s="7"/>
      <c r="O27" s="5"/>
      <c r="P27" s="5"/>
      <c r="Q27" s="6"/>
      <c r="R27" s="7"/>
      <c r="S27" s="5"/>
      <c r="T27" s="5"/>
      <c r="U27" s="6"/>
      <c r="V27" s="7"/>
      <c r="W27" s="5"/>
      <c r="X27" s="5"/>
      <c r="Y27" s="6"/>
      <c r="Z27" s="7"/>
      <c r="AA27" s="5"/>
      <c r="AB27" s="5"/>
      <c r="AC27" s="6"/>
      <c r="AD27" s="7"/>
      <c r="AE27" s="5"/>
      <c r="AF27" s="5"/>
      <c r="AG27" s="6"/>
      <c r="AH27" s="7"/>
      <c r="AI27" s="5"/>
      <c r="AJ27" s="5"/>
      <c r="AK27" s="6"/>
      <c r="AL27" s="7"/>
      <c r="AM27" s="5"/>
      <c r="AN27" s="5"/>
      <c r="AO27" s="6"/>
      <c r="AP27" s="7"/>
      <c r="AQ27" s="5"/>
      <c r="AR27" s="5"/>
      <c r="AS27" s="6"/>
      <c r="AT27" s="7"/>
      <c r="AU27" s="5"/>
      <c r="AV27" s="5"/>
      <c r="AW27" s="6"/>
      <c r="AX27" s="7"/>
      <c r="AY27" s="5"/>
      <c r="AZ27" s="5"/>
      <c r="BA27" s="6"/>
    </row>
    <row r="28" spans="2:53" s="18" customFormat="1" ht="16.5" thickBot="1" x14ac:dyDescent="0.3">
      <c r="B28" s="19"/>
      <c r="C28" s="93"/>
      <c r="D28" s="43"/>
      <c r="E28" s="44">
        <f>SUM(F28:BA28)</f>
        <v>4</v>
      </c>
      <c r="F28" s="7"/>
      <c r="G28" s="5"/>
      <c r="H28" s="5"/>
      <c r="I28" s="6"/>
      <c r="J28" s="138">
        <v>0</v>
      </c>
      <c r="K28" s="139">
        <v>1</v>
      </c>
      <c r="L28" s="139">
        <v>2</v>
      </c>
      <c r="M28" s="140">
        <v>1</v>
      </c>
      <c r="N28" s="7"/>
      <c r="O28" s="5"/>
      <c r="P28" s="5"/>
      <c r="Q28" s="6"/>
      <c r="R28" s="7"/>
      <c r="S28" s="5"/>
      <c r="T28" s="5"/>
      <c r="U28" s="6"/>
      <c r="V28" s="7"/>
      <c r="W28" s="5"/>
      <c r="X28" s="5"/>
      <c r="Y28" s="6"/>
      <c r="Z28" s="7"/>
      <c r="AA28" s="5"/>
      <c r="AB28" s="5"/>
      <c r="AC28" s="6"/>
      <c r="AD28" s="7"/>
      <c r="AE28" s="5"/>
      <c r="AF28" s="5"/>
      <c r="AG28" s="6"/>
      <c r="AH28" s="7"/>
      <c r="AI28" s="5"/>
      <c r="AJ28" s="5"/>
      <c r="AK28" s="6"/>
      <c r="AL28" s="7"/>
      <c r="AM28" s="5"/>
      <c r="AN28" s="5"/>
      <c r="AO28" s="6"/>
      <c r="AP28" s="7"/>
      <c r="AQ28" s="5"/>
      <c r="AR28" s="5"/>
      <c r="AS28" s="6"/>
      <c r="AT28" s="7"/>
      <c r="AU28" s="5"/>
      <c r="AV28" s="5"/>
      <c r="AW28" s="6"/>
      <c r="AX28" s="7"/>
      <c r="AY28" s="5"/>
      <c r="AZ28" s="5"/>
      <c r="BA28" s="6"/>
    </row>
    <row r="29" spans="2:53" s="18" customFormat="1" ht="16.5" thickBot="1" x14ac:dyDescent="0.3">
      <c r="B29" s="19"/>
      <c r="C29" s="93" t="s">
        <v>26</v>
      </c>
      <c r="D29" s="41">
        <f>SUM(F29:BA29)</f>
        <v>2</v>
      </c>
      <c r="E29" s="42"/>
      <c r="F29" s="7"/>
      <c r="G29" s="5"/>
      <c r="H29" s="5"/>
      <c r="I29" s="6"/>
      <c r="J29" s="135">
        <v>0</v>
      </c>
      <c r="K29" s="136">
        <v>1</v>
      </c>
      <c r="L29" s="136">
        <v>0</v>
      </c>
      <c r="M29" s="137">
        <v>1</v>
      </c>
      <c r="N29" s="7"/>
      <c r="O29" s="5"/>
      <c r="P29" s="5"/>
      <c r="Q29" s="6"/>
      <c r="R29" s="7"/>
      <c r="S29" s="5"/>
      <c r="T29" s="5"/>
      <c r="U29" s="6"/>
      <c r="V29" s="7"/>
      <c r="W29" s="5"/>
      <c r="X29" s="5"/>
      <c r="Y29" s="6"/>
      <c r="Z29" s="7"/>
      <c r="AA29" s="5"/>
      <c r="AB29" s="5"/>
      <c r="AC29" s="6"/>
      <c r="AD29" s="7"/>
      <c r="AE29" s="5"/>
      <c r="AF29" s="5"/>
      <c r="AG29" s="6"/>
      <c r="AH29" s="7"/>
      <c r="AI29" s="5"/>
      <c r="AJ29" s="5"/>
      <c r="AK29" s="6"/>
      <c r="AL29" s="7"/>
      <c r="AM29" s="5"/>
      <c r="AN29" s="5"/>
      <c r="AO29" s="6"/>
      <c r="AP29" s="7"/>
      <c r="AQ29" s="5"/>
      <c r="AR29" s="5"/>
      <c r="AS29" s="6"/>
      <c r="AT29" s="7"/>
      <c r="AU29" s="5"/>
      <c r="AV29" s="5"/>
      <c r="AW29" s="6"/>
      <c r="AX29" s="7"/>
      <c r="AY29" s="5"/>
      <c r="AZ29" s="5"/>
      <c r="BA29" s="6"/>
    </row>
    <row r="30" spans="2:53" s="18" customFormat="1" ht="16.5" thickBot="1" x14ac:dyDescent="0.3">
      <c r="B30" s="19"/>
      <c r="C30" s="93"/>
      <c r="D30" s="43"/>
      <c r="E30" s="44">
        <f>SUM(F30:BA30)</f>
        <v>2</v>
      </c>
      <c r="F30" s="7"/>
      <c r="G30" s="5"/>
      <c r="H30" s="5"/>
      <c r="I30" s="6"/>
      <c r="J30" s="138">
        <v>0</v>
      </c>
      <c r="K30" s="139">
        <v>1</v>
      </c>
      <c r="L30" s="139">
        <v>0</v>
      </c>
      <c r="M30" s="140">
        <v>1</v>
      </c>
      <c r="N30" s="7"/>
      <c r="O30" s="5"/>
      <c r="P30" s="5" t="s">
        <v>51</v>
      </c>
      <c r="Q30" s="6"/>
      <c r="R30" s="7"/>
      <c r="S30" s="5"/>
      <c r="T30" s="5"/>
      <c r="U30" s="6"/>
      <c r="V30" s="7"/>
      <c r="W30" s="5"/>
      <c r="X30" s="5"/>
      <c r="Y30" s="6"/>
      <c r="Z30" s="7"/>
      <c r="AA30" s="5"/>
      <c r="AB30" s="5"/>
      <c r="AC30" s="6"/>
      <c r="AD30" s="7"/>
      <c r="AE30" s="5"/>
      <c r="AF30" s="5"/>
      <c r="AG30" s="6"/>
      <c r="AH30" s="7"/>
      <c r="AI30" s="5"/>
      <c r="AJ30" s="5"/>
      <c r="AK30" s="6"/>
      <c r="AL30" s="7"/>
      <c r="AM30" s="5"/>
      <c r="AN30" s="5"/>
      <c r="AO30" s="6"/>
      <c r="AP30" s="7"/>
      <c r="AQ30" s="5"/>
      <c r="AR30" s="5"/>
      <c r="AS30" s="6"/>
      <c r="AT30" s="7"/>
      <c r="AU30" s="5"/>
      <c r="AV30" s="5"/>
      <c r="AW30" s="6"/>
      <c r="AX30" s="7"/>
      <c r="AY30" s="5"/>
      <c r="AZ30" s="5"/>
      <c r="BA30" s="6"/>
    </row>
    <row r="31" spans="2:53" s="18" customFormat="1" ht="16.5" thickBot="1" x14ac:dyDescent="0.3">
      <c r="B31" s="19"/>
      <c r="C31" s="93" t="s">
        <v>27</v>
      </c>
      <c r="D31" s="41">
        <f>SUM(F31:BA31)</f>
        <v>0</v>
      </c>
      <c r="E31" s="42"/>
      <c r="F31" s="7"/>
      <c r="G31" s="5"/>
      <c r="H31" s="5"/>
      <c r="I31" s="6"/>
      <c r="J31" s="135">
        <v>0</v>
      </c>
      <c r="K31" s="136">
        <v>0</v>
      </c>
      <c r="L31" s="136">
        <v>0</v>
      </c>
      <c r="M31" s="137">
        <v>0</v>
      </c>
      <c r="N31" s="7"/>
      <c r="O31" s="5"/>
      <c r="P31" s="5"/>
      <c r="Q31" s="6"/>
      <c r="R31" s="7"/>
      <c r="S31" s="5"/>
      <c r="T31" s="5"/>
      <c r="U31" s="6"/>
      <c r="V31" s="7"/>
      <c r="W31" s="5"/>
      <c r="X31" s="5"/>
      <c r="Y31" s="6"/>
      <c r="Z31" s="7"/>
      <c r="AA31" s="5"/>
      <c r="AB31" s="5"/>
      <c r="AC31" s="6"/>
      <c r="AD31" s="7"/>
      <c r="AE31" s="5"/>
      <c r="AF31" s="5"/>
      <c r="AG31" s="6"/>
      <c r="AH31" s="7"/>
      <c r="AI31" s="5"/>
      <c r="AJ31" s="5"/>
      <c r="AK31" s="6"/>
      <c r="AL31" s="7"/>
      <c r="AM31" s="5"/>
      <c r="AN31" s="5"/>
      <c r="AO31" s="6"/>
      <c r="AP31" s="7"/>
      <c r="AQ31" s="5"/>
      <c r="AR31" s="5"/>
      <c r="AS31" s="6"/>
      <c r="AT31" s="7"/>
      <c r="AU31" s="5"/>
      <c r="AV31" s="5"/>
      <c r="AW31" s="6"/>
      <c r="AX31" s="7"/>
      <c r="AY31" s="5"/>
      <c r="AZ31" s="5"/>
      <c r="BA31" s="6"/>
    </row>
    <row r="32" spans="2:53" s="18" customFormat="1" ht="16.5" thickBot="1" x14ac:dyDescent="0.3">
      <c r="B32" s="19"/>
      <c r="C32" s="93"/>
      <c r="D32" s="43"/>
      <c r="E32" s="44">
        <f>SUM(F32:BA32)</f>
        <v>0.25</v>
      </c>
      <c r="F32" s="7"/>
      <c r="G32" s="5"/>
      <c r="H32" s="5"/>
      <c r="I32" s="6"/>
      <c r="J32" s="138">
        <v>0</v>
      </c>
      <c r="K32" s="139">
        <v>0.25</v>
      </c>
      <c r="L32" s="139">
        <v>0</v>
      </c>
      <c r="M32" s="140">
        <v>0</v>
      </c>
      <c r="N32" s="6"/>
      <c r="O32" s="5"/>
      <c r="P32" s="5"/>
      <c r="Q32" s="6"/>
      <c r="R32" s="7"/>
      <c r="S32" s="5"/>
      <c r="T32" s="5"/>
      <c r="U32" s="6"/>
      <c r="V32" s="7"/>
      <c r="W32" s="5"/>
      <c r="X32" s="5"/>
      <c r="Y32" s="6"/>
      <c r="Z32" s="7"/>
      <c r="AA32" s="5"/>
      <c r="AB32" s="5"/>
      <c r="AC32" s="6"/>
      <c r="AD32" s="7"/>
      <c r="AE32" s="5"/>
      <c r="AF32" s="5"/>
      <c r="AG32" s="6"/>
      <c r="AH32" s="7"/>
      <c r="AI32" s="5"/>
      <c r="AJ32" s="5"/>
      <c r="AK32" s="6"/>
      <c r="AL32" s="7"/>
      <c r="AM32" s="5"/>
      <c r="AN32" s="5"/>
      <c r="AO32" s="6"/>
      <c r="AP32" s="7"/>
      <c r="AQ32" s="5"/>
      <c r="AR32" s="5"/>
      <c r="AS32" s="6"/>
      <c r="AT32" s="7"/>
      <c r="AU32" s="5"/>
      <c r="AV32" s="5"/>
      <c r="AW32" s="6"/>
      <c r="AX32" s="7"/>
      <c r="AY32" s="5"/>
      <c r="AZ32" s="5"/>
      <c r="BA32" s="6"/>
    </row>
    <row r="33" spans="2:53" s="18" customFormat="1" ht="16.5" thickBot="1" x14ac:dyDescent="0.3">
      <c r="B33" s="19"/>
      <c r="C33" s="93" t="s">
        <v>28</v>
      </c>
      <c r="D33" s="41">
        <f>SUM(F33:BA33)</f>
        <v>0.5</v>
      </c>
      <c r="E33" s="42"/>
      <c r="F33" s="7"/>
      <c r="G33" s="5"/>
      <c r="H33" s="5"/>
      <c r="I33" s="6"/>
      <c r="J33" s="135">
        <v>0</v>
      </c>
      <c r="K33" s="136">
        <v>0.5</v>
      </c>
      <c r="L33" s="136">
        <v>0</v>
      </c>
      <c r="M33" s="137">
        <v>0</v>
      </c>
      <c r="N33" s="7"/>
      <c r="O33" s="5"/>
      <c r="P33" s="5"/>
      <c r="Q33" s="6"/>
      <c r="R33" s="7"/>
      <c r="S33" s="5"/>
      <c r="T33" s="5"/>
      <c r="U33" s="6"/>
      <c r="V33" s="7"/>
      <c r="W33" s="5"/>
      <c r="X33" s="5"/>
      <c r="Y33" s="6"/>
      <c r="Z33" s="7"/>
      <c r="AA33" s="5"/>
      <c r="AB33" s="5"/>
      <c r="AC33" s="6"/>
      <c r="AD33" s="7"/>
      <c r="AE33" s="5"/>
      <c r="AF33" s="5"/>
      <c r="AG33" s="6"/>
      <c r="AH33" s="7"/>
      <c r="AI33" s="5"/>
      <c r="AJ33" s="5"/>
      <c r="AK33" s="6"/>
      <c r="AL33" s="7"/>
      <c r="AM33" s="5"/>
      <c r="AN33" s="5"/>
      <c r="AO33" s="6"/>
      <c r="AP33" s="7"/>
      <c r="AQ33" s="5"/>
      <c r="AR33" s="5"/>
      <c r="AS33" s="6"/>
      <c r="AT33" s="7"/>
      <c r="AU33" s="5"/>
      <c r="AV33" s="5"/>
      <c r="AW33" s="6"/>
      <c r="AX33" s="7"/>
      <c r="AY33" s="5"/>
      <c r="AZ33" s="5"/>
      <c r="BA33" s="6"/>
    </row>
    <row r="34" spans="2:53" s="18" customFormat="1" ht="16.5" thickBot="1" x14ac:dyDescent="0.3">
      <c r="B34" s="19"/>
      <c r="C34" s="93"/>
      <c r="D34" s="43"/>
      <c r="E34" s="44">
        <f>SUM(F34:BA34)</f>
        <v>0.5</v>
      </c>
      <c r="F34" s="7"/>
      <c r="G34" s="5"/>
      <c r="H34" s="5"/>
      <c r="I34" s="6"/>
      <c r="J34" s="138">
        <v>0</v>
      </c>
      <c r="K34" s="139">
        <v>0.5</v>
      </c>
      <c r="L34" s="139">
        <v>0</v>
      </c>
      <c r="M34" s="140">
        <v>0</v>
      </c>
      <c r="N34" s="6"/>
      <c r="O34" s="5"/>
      <c r="P34" s="6"/>
      <c r="Q34" s="6"/>
      <c r="R34" s="7"/>
      <c r="S34" s="5"/>
      <c r="T34" s="5"/>
      <c r="U34" s="6"/>
      <c r="V34" s="7"/>
      <c r="W34" s="5"/>
      <c r="X34" s="5"/>
      <c r="Y34" s="6"/>
      <c r="Z34" s="7"/>
      <c r="AA34" s="5"/>
      <c r="AB34" s="5"/>
      <c r="AC34" s="6"/>
      <c r="AD34" s="7"/>
      <c r="AE34" s="5"/>
      <c r="AF34" s="5"/>
      <c r="AG34" s="6"/>
      <c r="AH34" s="7"/>
      <c r="AI34" s="5"/>
      <c r="AJ34" s="5"/>
      <c r="AK34" s="6"/>
      <c r="AL34" s="7"/>
      <c r="AM34" s="5"/>
      <c r="AN34" s="5"/>
      <c r="AO34" s="6"/>
      <c r="AP34" s="7"/>
      <c r="AQ34" s="5"/>
      <c r="AR34" s="5"/>
      <c r="AS34" s="6"/>
      <c r="AT34" s="7"/>
      <c r="AU34" s="5"/>
      <c r="AV34" s="5"/>
      <c r="AW34" s="6"/>
      <c r="AX34" s="7"/>
      <c r="AY34" s="5"/>
      <c r="AZ34" s="5"/>
      <c r="BA34" s="6"/>
    </row>
    <row r="35" spans="2:53" s="18" customFormat="1" ht="16.5" thickBot="1" x14ac:dyDescent="0.3">
      <c r="B35" s="19"/>
      <c r="C35" s="94" t="s">
        <v>29</v>
      </c>
      <c r="D35" s="41">
        <f>SUM(F35:BA35)</f>
        <v>2</v>
      </c>
      <c r="E35" s="42"/>
      <c r="F35" s="7"/>
      <c r="G35" s="5"/>
      <c r="H35" s="5"/>
      <c r="I35" s="6"/>
      <c r="J35" s="135">
        <v>0.5</v>
      </c>
      <c r="K35" s="136">
        <v>0.5</v>
      </c>
      <c r="L35" s="136">
        <v>0.5</v>
      </c>
      <c r="M35" s="137">
        <v>0.5</v>
      </c>
      <c r="N35" s="7"/>
      <c r="O35" s="5"/>
      <c r="P35" s="5"/>
      <c r="Q35" s="6"/>
      <c r="R35" s="7"/>
      <c r="S35" s="5"/>
      <c r="T35" s="5"/>
      <c r="U35" s="6"/>
      <c r="V35" s="7"/>
      <c r="W35" s="5"/>
      <c r="X35" s="5"/>
      <c r="Y35" s="6"/>
      <c r="Z35" s="7"/>
      <c r="AA35" s="5"/>
      <c r="AB35" s="5"/>
      <c r="AC35" s="6"/>
      <c r="AD35" s="7"/>
      <c r="AE35" s="5"/>
      <c r="AF35" s="5"/>
      <c r="AG35" s="6"/>
      <c r="AH35" s="7"/>
      <c r="AI35" s="5"/>
      <c r="AJ35" s="5"/>
      <c r="AK35" s="6"/>
      <c r="AL35" s="7"/>
      <c r="AM35" s="5"/>
      <c r="AN35" s="5"/>
      <c r="AO35" s="6"/>
      <c r="AP35" s="7"/>
      <c r="AQ35" s="5"/>
      <c r="AR35" s="5"/>
      <c r="AS35" s="6"/>
      <c r="AT35" s="7"/>
      <c r="AU35" s="5"/>
      <c r="AV35" s="5"/>
      <c r="AW35" s="6"/>
      <c r="AX35" s="7"/>
      <c r="AY35" s="5"/>
      <c r="AZ35" s="5"/>
      <c r="BA35" s="6"/>
    </row>
    <row r="36" spans="2:53" s="18" customFormat="1" ht="13.5" customHeight="1" thickBot="1" x14ac:dyDescent="0.3">
      <c r="B36" s="19"/>
      <c r="C36" s="94"/>
      <c r="D36" s="43"/>
      <c r="E36" s="44">
        <f>SUM(F36:BA36)</f>
        <v>2</v>
      </c>
      <c r="F36" s="7"/>
      <c r="G36" s="5"/>
      <c r="H36" s="5"/>
      <c r="I36" s="6"/>
      <c r="J36" s="138">
        <v>0.5</v>
      </c>
      <c r="K36" s="139">
        <v>0.5</v>
      </c>
      <c r="L36" s="139">
        <v>0.5</v>
      </c>
      <c r="M36" s="140">
        <v>0.5</v>
      </c>
      <c r="N36" s="7"/>
      <c r="O36" s="5"/>
      <c r="P36" s="5"/>
      <c r="Q36" s="6"/>
      <c r="R36" s="7"/>
      <c r="S36" s="5"/>
      <c r="T36" s="5"/>
      <c r="U36" s="6"/>
      <c r="V36" s="7"/>
      <c r="W36" s="5"/>
      <c r="X36" s="5"/>
      <c r="Y36" s="6"/>
      <c r="Z36" s="7"/>
      <c r="AA36" s="5"/>
      <c r="AB36" s="5"/>
      <c r="AC36" s="6"/>
      <c r="AD36" s="7"/>
      <c r="AE36" s="5"/>
      <c r="AF36" s="5"/>
      <c r="AG36" s="6"/>
      <c r="AH36" s="7"/>
      <c r="AI36" s="5"/>
      <c r="AJ36" s="5"/>
      <c r="AK36" s="6"/>
      <c r="AL36" s="7"/>
      <c r="AM36" s="5"/>
      <c r="AN36" s="5"/>
      <c r="AO36" s="6"/>
      <c r="AP36" s="7"/>
      <c r="AQ36" s="5"/>
      <c r="AR36" s="5"/>
      <c r="AS36" s="6"/>
      <c r="AT36" s="7"/>
      <c r="AU36" s="5"/>
      <c r="AV36" s="5"/>
      <c r="AW36" s="6"/>
      <c r="AX36" s="7"/>
      <c r="AY36" s="5"/>
      <c r="AZ36" s="5"/>
      <c r="BA36" s="6"/>
    </row>
    <row r="37" spans="2:53" s="18" customFormat="1" ht="13.5" customHeight="1" thickBot="1" x14ac:dyDescent="0.3">
      <c r="B37" s="19"/>
      <c r="C37" s="51"/>
      <c r="D37" s="46"/>
      <c r="E37" s="47"/>
      <c r="F37" s="7"/>
      <c r="G37" s="5"/>
      <c r="H37" s="5"/>
      <c r="I37" s="6"/>
      <c r="J37" s="7"/>
      <c r="K37" s="5"/>
      <c r="L37" s="5"/>
      <c r="M37" s="6"/>
      <c r="N37" s="7"/>
      <c r="O37" s="5"/>
      <c r="P37" s="5"/>
      <c r="Q37" s="6"/>
      <c r="R37" s="7"/>
      <c r="S37" s="5"/>
      <c r="T37" s="5"/>
      <c r="U37" s="6"/>
      <c r="V37" s="7"/>
      <c r="W37" s="5"/>
      <c r="X37" s="5"/>
      <c r="Y37" s="6"/>
      <c r="Z37" s="7"/>
      <c r="AA37" s="5"/>
      <c r="AB37" s="5"/>
      <c r="AC37" s="6"/>
      <c r="AD37" s="7"/>
      <c r="AE37" s="5"/>
      <c r="AF37" s="5"/>
      <c r="AG37" s="6"/>
      <c r="AH37" s="7"/>
      <c r="AI37" s="5"/>
      <c r="AJ37" s="5"/>
      <c r="AK37" s="6"/>
      <c r="AL37" s="7"/>
      <c r="AM37" s="5"/>
      <c r="AN37" s="5"/>
      <c r="AO37" s="6"/>
      <c r="AP37" s="7"/>
      <c r="AQ37" s="5"/>
      <c r="AR37" s="5"/>
      <c r="AS37" s="6"/>
      <c r="AT37" s="7"/>
      <c r="AU37" s="5"/>
      <c r="AV37" s="5"/>
      <c r="AW37" s="6"/>
      <c r="AX37" s="7"/>
      <c r="AY37" s="5"/>
      <c r="AZ37" s="5"/>
      <c r="BA37" s="6"/>
    </row>
    <row r="38" spans="2:53" s="18" customFormat="1" ht="18.75" thickBot="1" x14ac:dyDescent="0.3">
      <c r="B38" s="36"/>
      <c r="C38" s="48" t="s">
        <v>6</v>
      </c>
      <c r="D38" s="49"/>
      <c r="E38" s="50"/>
      <c r="F38" s="12"/>
      <c r="G38" s="13"/>
      <c r="H38" s="13"/>
      <c r="I38" s="14"/>
      <c r="J38" s="12"/>
      <c r="K38" s="13"/>
      <c r="L38" s="13"/>
      <c r="M38" s="14"/>
      <c r="N38" s="144"/>
      <c r="O38" s="145"/>
      <c r="P38" s="145"/>
      <c r="Q38" s="146"/>
      <c r="R38" s="144"/>
      <c r="S38" s="145"/>
      <c r="T38" s="145"/>
      <c r="U38" s="146"/>
      <c r="V38" s="7"/>
      <c r="W38" s="5"/>
      <c r="X38" s="5"/>
      <c r="Y38" s="6"/>
      <c r="Z38" s="7"/>
      <c r="AA38" s="5"/>
      <c r="AB38" s="5"/>
      <c r="AC38" s="6"/>
      <c r="AD38" s="7"/>
      <c r="AE38" s="5"/>
      <c r="AF38" s="5"/>
      <c r="AG38" s="6"/>
      <c r="AH38" s="7"/>
      <c r="AI38" s="5"/>
      <c r="AJ38" s="5"/>
      <c r="AK38" s="6"/>
      <c r="AL38" s="7"/>
      <c r="AM38" s="5"/>
      <c r="AN38" s="5"/>
      <c r="AO38" s="6"/>
      <c r="AP38" s="7"/>
      <c r="AQ38" s="5"/>
      <c r="AR38" s="5"/>
      <c r="AS38" s="6"/>
      <c r="AT38" s="7"/>
      <c r="AU38" s="5"/>
      <c r="AV38" s="5"/>
      <c r="AW38" s="6"/>
      <c r="AX38" s="7"/>
      <c r="AY38" s="5"/>
      <c r="AZ38" s="5"/>
      <c r="BA38" s="6"/>
    </row>
    <row r="39" spans="2:53" s="18" customFormat="1" ht="16.5" thickBot="1" x14ac:dyDescent="0.3">
      <c r="B39" s="19"/>
      <c r="C39" s="93" t="s">
        <v>35</v>
      </c>
      <c r="D39" s="41">
        <f>SUM(F39:BA39)</f>
        <v>4</v>
      </c>
      <c r="E39" s="42"/>
      <c r="F39" s="7"/>
      <c r="G39" s="5"/>
      <c r="H39" s="5"/>
      <c r="I39" s="6"/>
      <c r="J39" s="7"/>
      <c r="K39" s="5"/>
      <c r="L39" s="5"/>
      <c r="M39" s="6"/>
      <c r="N39" s="144">
        <v>1</v>
      </c>
      <c r="O39" s="145">
        <v>1</v>
      </c>
      <c r="P39" s="145">
        <v>0</v>
      </c>
      <c r="Q39" s="146">
        <v>0</v>
      </c>
      <c r="R39" s="144">
        <v>0.5</v>
      </c>
      <c r="S39" s="145">
        <v>1.5</v>
      </c>
      <c r="T39" s="145">
        <v>0</v>
      </c>
      <c r="U39" s="146">
        <v>0</v>
      </c>
      <c r="V39" s="7"/>
      <c r="W39" s="5"/>
      <c r="X39" s="5"/>
      <c r="Y39" s="6"/>
      <c r="Z39" s="7"/>
      <c r="AA39" s="5"/>
      <c r="AB39" s="5"/>
      <c r="AC39" s="6"/>
      <c r="AD39" s="7"/>
      <c r="AE39" s="5"/>
      <c r="AF39" s="5"/>
      <c r="AG39" s="6"/>
      <c r="AH39" s="7"/>
      <c r="AI39" s="5"/>
      <c r="AJ39" s="5"/>
      <c r="AK39" s="6"/>
      <c r="AL39" s="7"/>
      <c r="AM39" s="5"/>
      <c r="AN39" s="5"/>
      <c r="AO39" s="6"/>
      <c r="AP39" s="7"/>
      <c r="AQ39" s="5"/>
      <c r="AR39" s="5"/>
      <c r="AS39" s="6"/>
      <c r="AT39" s="7"/>
      <c r="AU39" s="5"/>
      <c r="AV39" s="5"/>
      <c r="AW39" s="6"/>
      <c r="AX39" s="7"/>
      <c r="AY39" s="5"/>
      <c r="AZ39" s="5"/>
      <c r="BA39" s="6"/>
    </row>
    <row r="40" spans="2:53" s="18" customFormat="1" ht="16.5" thickBot="1" x14ac:dyDescent="0.3">
      <c r="B40" s="19"/>
      <c r="C40" s="93"/>
      <c r="D40" s="43"/>
      <c r="E40" s="44">
        <f>SUM(F40:BA40)</f>
        <v>4</v>
      </c>
      <c r="F40" s="7"/>
      <c r="G40" s="5"/>
      <c r="H40" s="5"/>
      <c r="I40" s="6"/>
      <c r="J40" s="7"/>
      <c r="K40" s="5"/>
      <c r="L40" s="5"/>
      <c r="M40" s="6"/>
      <c r="N40" s="141">
        <v>1</v>
      </c>
      <c r="O40" s="142">
        <v>1</v>
      </c>
      <c r="P40" s="142">
        <v>0</v>
      </c>
      <c r="Q40" s="143">
        <v>0</v>
      </c>
      <c r="R40" s="141">
        <v>0.5</v>
      </c>
      <c r="S40" s="142">
        <v>1.5</v>
      </c>
      <c r="T40" s="142">
        <v>0</v>
      </c>
      <c r="U40" s="143">
        <v>0</v>
      </c>
      <c r="V40" s="7"/>
      <c r="W40" s="5"/>
      <c r="X40" s="5"/>
      <c r="Y40" s="6"/>
      <c r="Z40" s="7"/>
      <c r="AA40" s="5"/>
      <c r="AB40" s="5"/>
      <c r="AC40" s="6"/>
      <c r="AD40" s="7"/>
      <c r="AE40" s="5"/>
      <c r="AF40" s="5"/>
      <c r="AG40" s="6"/>
      <c r="AH40" s="7"/>
      <c r="AI40" s="5"/>
      <c r="AJ40" s="5"/>
      <c r="AK40" s="6"/>
      <c r="AL40" s="7"/>
      <c r="AM40" s="5"/>
      <c r="AN40" s="5"/>
      <c r="AO40" s="6"/>
      <c r="AP40" s="7"/>
      <c r="AQ40" s="5"/>
      <c r="AR40" s="5"/>
      <c r="AS40" s="6"/>
      <c r="AT40" s="7"/>
      <c r="AU40" s="5"/>
      <c r="AV40" s="5"/>
      <c r="AW40" s="6"/>
      <c r="AX40" s="7"/>
      <c r="AY40" s="5"/>
      <c r="AZ40" s="5"/>
      <c r="BA40" s="6"/>
    </row>
    <row r="41" spans="2:53" s="18" customFormat="1" ht="16.5" thickBot="1" x14ac:dyDescent="0.3">
      <c r="B41" s="19"/>
      <c r="C41" s="93" t="s">
        <v>36</v>
      </c>
      <c r="D41" s="41">
        <f>SUM(F41:BA41)</f>
        <v>2.5</v>
      </c>
      <c r="E41" s="42"/>
      <c r="F41" s="7"/>
      <c r="G41" s="5"/>
      <c r="H41" s="5"/>
      <c r="I41" s="6"/>
      <c r="J41" s="7"/>
      <c r="K41" s="5"/>
      <c r="L41" s="5"/>
      <c r="M41" s="6"/>
      <c r="N41" s="144">
        <v>1</v>
      </c>
      <c r="O41" s="145">
        <v>0.25</v>
      </c>
      <c r="P41" s="145">
        <v>0</v>
      </c>
      <c r="Q41" s="146">
        <v>0</v>
      </c>
      <c r="R41" s="144">
        <v>1</v>
      </c>
      <c r="S41" s="145">
        <v>0.25</v>
      </c>
      <c r="T41" s="145">
        <v>0</v>
      </c>
      <c r="U41" s="146">
        <v>0</v>
      </c>
      <c r="V41" s="7"/>
      <c r="W41" s="5"/>
      <c r="X41" s="5"/>
      <c r="Y41" s="6"/>
      <c r="Z41" s="7"/>
      <c r="AA41" s="5"/>
      <c r="AB41" s="5"/>
      <c r="AC41" s="6"/>
      <c r="AD41" s="7"/>
      <c r="AE41" s="5"/>
      <c r="AF41" s="5"/>
      <c r="AG41" s="6"/>
      <c r="AH41" s="7"/>
      <c r="AI41" s="5"/>
      <c r="AJ41" s="5"/>
      <c r="AK41" s="6"/>
      <c r="AL41" s="7"/>
      <c r="AM41" s="5"/>
      <c r="AN41" s="5"/>
      <c r="AO41" s="6"/>
      <c r="AP41" s="7"/>
      <c r="AQ41" s="5"/>
      <c r="AR41" s="5"/>
      <c r="AS41" s="6"/>
      <c r="AT41" s="7"/>
      <c r="AU41" s="5"/>
      <c r="AV41" s="5"/>
      <c r="AW41" s="6"/>
      <c r="AX41" s="7"/>
      <c r="AY41" s="5"/>
      <c r="AZ41" s="5"/>
      <c r="BA41" s="6"/>
    </row>
    <row r="42" spans="2:53" s="18" customFormat="1" ht="16.5" thickBot="1" x14ac:dyDescent="0.3">
      <c r="B42" s="19"/>
      <c r="C42" s="93"/>
      <c r="D42" s="43"/>
      <c r="E42" s="44">
        <f>SUM(F42:BA42)</f>
        <v>2.5</v>
      </c>
      <c r="F42" s="7"/>
      <c r="G42" s="5"/>
      <c r="H42" s="5"/>
      <c r="I42" s="6"/>
      <c r="J42" s="7"/>
      <c r="K42" s="5"/>
      <c r="L42" s="5"/>
      <c r="M42" s="6"/>
      <c r="N42" s="141">
        <v>1</v>
      </c>
      <c r="O42" s="142">
        <v>0.25</v>
      </c>
      <c r="P42" s="142">
        <v>0</v>
      </c>
      <c r="Q42" s="143">
        <v>0</v>
      </c>
      <c r="R42" s="141">
        <v>1</v>
      </c>
      <c r="S42" s="142">
        <v>0.25</v>
      </c>
      <c r="T42" s="142">
        <v>0</v>
      </c>
      <c r="U42" s="143">
        <v>0</v>
      </c>
      <c r="V42" s="7"/>
      <c r="W42" s="5"/>
      <c r="X42" s="5"/>
      <c r="Y42" s="6"/>
      <c r="Z42" s="7"/>
      <c r="AA42" s="5"/>
      <c r="AB42" s="5"/>
      <c r="AC42" s="6"/>
      <c r="AD42" s="7"/>
      <c r="AE42" s="5"/>
      <c r="AF42" s="5"/>
      <c r="AG42" s="6"/>
      <c r="AH42" s="7"/>
      <c r="AI42" s="5"/>
      <c r="AJ42" s="5"/>
      <c r="AK42" s="6"/>
      <c r="AL42" s="7"/>
      <c r="AM42" s="5"/>
      <c r="AN42" s="5"/>
      <c r="AO42" s="6"/>
      <c r="AP42" s="7"/>
      <c r="AQ42" s="5"/>
      <c r="AR42" s="5"/>
      <c r="AS42" s="6"/>
      <c r="AT42" s="7"/>
      <c r="AU42" s="5"/>
      <c r="AV42" s="5"/>
      <c r="AW42" s="6"/>
      <c r="AX42" s="7"/>
      <c r="AY42" s="5"/>
      <c r="AZ42" s="5"/>
      <c r="BA42" s="6"/>
    </row>
    <row r="43" spans="2:53" s="18" customFormat="1" ht="15.75" x14ac:dyDescent="0.25">
      <c r="B43" s="19"/>
      <c r="C43" s="104" t="s">
        <v>37</v>
      </c>
      <c r="D43" s="41">
        <f>SUM(F43:BA43)</f>
        <v>0.4</v>
      </c>
      <c r="E43" s="42"/>
      <c r="F43" s="7"/>
      <c r="G43" s="5"/>
      <c r="H43" s="5"/>
      <c r="I43" s="6"/>
      <c r="J43" s="7"/>
      <c r="K43" s="5"/>
      <c r="L43" s="5"/>
      <c r="M43" s="6"/>
      <c r="N43" s="144">
        <v>0.2</v>
      </c>
      <c r="O43" s="145">
        <v>0</v>
      </c>
      <c r="P43" s="145">
        <v>0</v>
      </c>
      <c r="Q43" s="146">
        <v>0</v>
      </c>
      <c r="R43" s="144">
        <v>0.2</v>
      </c>
      <c r="S43" s="145">
        <v>0</v>
      </c>
      <c r="T43" s="145">
        <v>0</v>
      </c>
      <c r="U43" s="146">
        <v>0</v>
      </c>
      <c r="V43" s="7"/>
      <c r="W43" s="5"/>
      <c r="X43" s="5"/>
      <c r="Y43" s="6"/>
      <c r="Z43" s="7"/>
      <c r="AA43" s="5"/>
      <c r="AB43" s="5"/>
      <c r="AC43" s="6"/>
      <c r="AD43" s="7"/>
      <c r="AE43" s="5"/>
      <c r="AF43" s="5"/>
      <c r="AG43" s="6"/>
      <c r="AH43" s="7"/>
      <c r="AI43" s="5"/>
      <c r="AJ43" s="5"/>
      <c r="AK43" s="6"/>
      <c r="AL43" s="7"/>
      <c r="AM43" s="5"/>
      <c r="AN43" s="5"/>
      <c r="AO43" s="6"/>
      <c r="AP43" s="7"/>
      <c r="AQ43" s="5"/>
      <c r="AR43" s="5"/>
      <c r="AS43" s="6"/>
      <c r="AT43" s="7"/>
      <c r="AU43" s="5"/>
      <c r="AV43" s="5"/>
      <c r="AW43" s="6"/>
      <c r="AX43" s="7"/>
      <c r="AY43" s="5"/>
      <c r="AZ43" s="5"/>
      <c r="BA43" s="6"/>
    </row>
    <row r="44" spans="2:53" s="18" customFormat="1" ht="16.5" thickBot="1" x14ac:dyDescent="0.3">
      <c r="B44" s="19"/>
      <c r="C44" s="105"/>
      <c r="D44" s="43"/>
      <c r="E44" s="44">
        <f>SUM(F44:BA44)</f>
        <v>0.4</v>
      </c>
      <c r="F44" s="7"/>
      <c r="G44" s="5"/>
      <c r="H44" s="5"/>
      <c r="I44" s="6"/>
      <c r="J44" s="7"/>
      <c r="K44" s="5"/>
      <c r="L44" s="5"/>
      <c r="M44" s="6"/>
      <c r="N44" s="141">
        <v>0.2</v>
      </c>
      <c r="O44" s="142">
        <v>0</v>
      </c>
      <c r="P44" s="142">
        <v>0</v>
      </c>
      <c r="Q44" s="143">
        <v>0</v>
      </c>
      <c r="R44" s="141">
        <v>0.2</v>
      </c>
      <c r="S44" s="142">
        <v>0</v>
      </c>
      <c r="T44" s="142">
        <v>0</v>
      </c>
      <c r="U44" s="143">
        <v>0</v>
      </c>
      <c r="V44" s="7"/>
      <c r="W44" s="5"/>
      <c r="X44" s="5"/>
      <c r="Y44" s="6"/>
      <c r="Z44" s="7"/>
      <c r="AA44" s="5"/>
      <c r="AB44" s="5"/>
      <c r="AC44" s="6"/>
      <c r="AD44" s="7"/>
      <c r="AE44" s="5"/>
      <c r="AF44" s="5"/>
      <c r="AG44" s="6"/>
      <c r="AH44" s="7"/>
      <c r="AI44" s="5"/>
      <c r="AJ44" s="5"/>
      <c r="AK44" s="6"/>
      <c r="AL44" s="7"/>
      <c r="AM44" s="5"/>
      <c r="AN44" s="5"/>
      <c r="AO44" s="6"/>
      <c r="AP44" s="7"/>
      <c r="AQ44" s="5"/>
      <c r="AR44" s="5"/>
      <c r="AS44" s="6"/>
      <c r="AT44" s="7"/>
      <c r="AU44" s="5"/>
      <c r="AV44" s="5"/>
      <c r="AW44" s="6"/>
      <c r="AX44" s="7"/>
      <c r="AY44" s="5"/>
      <c r="AZ44" s="5"/>
      <c r="BA44" s="6"/>
    </row>
    <row r="45" spans="2:53" s="18" customFormat="1" ht="16.5" thickBot="1" x14ac:dyDescent="0.3">
      <c r="B45" s="19"/>
      <c r="C45" s="93" t="s">
        <v>38</v>
      </c>
      <c r="D45" s="41">
        <f>SUM(F45:BA45)</f>
        <v>3.1</v>
      </c>
      <c r="E45" s="42"/>
      <c r="F45" s="7"/>
      <c r="G45" s="5"/>
      <c r="H45" s="5"/>
      <c r="I45" s="6"/>
      <c r="J45" s="7"/>
      <c r="K45" s="5"/>
      <c r="L45" s="5"/>
      <c r="M45" s="6"/>
      <c r="N45" s="144">
        <v>0.3</v>
      </c>
      <c r="O45" s="145">
        <v>0.25</v>
      </c>
      <c r="P45" s="145">
        <v>0</v>
      </c>
      <c r="Q45" s="146">
        <v>1</v>
      </c>
      <c r="R45" s="144">
        <v>0</v>
      </c>
      <c r="S45" s="145">
        <v>0.25</v>
      </c>
      <c r="T45" s="145">
        <v>0</v>
      </c>
      <c r="U45" s="146">
        <v>1.3</v>
      </c>
      <c r="V45" s="7"/>
      <c r="W45" s="5"/>
      <c r="X45" s="5"/>
      <c r="Y45" s="6"/>
      <c r="Z45" s="7"/>
      <c r="AA45" s="5"/>
      <c r="AB45" s="5"/>
      <c r="AC45" s="6"/>
      <c r="AD45" s="7"/>
      <c r="AE45" s="5"/>
      <c r="AF45" s="5"/>
      <c r="AG45" s="6"/>
      <c r="AH45" s="7"/>
      <c r="AI45" s="5"/>
      <c r="AJ45" s="5"/>
      <c r="AK45" s="6"/>
      <c r="AL45" s="7"/>
      <c r="AM45" s="5"/>
      <c r="AN45" s="5"/>
      <c r="AO45" s="6"/>
      <c r="AP45" s="7"/>
      <c r="AQ45" s="5"/>
      <c r="AR45" s="5"/>
      <c r="AS45" s="6"/>
      <c r="AT45" s="7"/>
      <c r="AU45" s="5"/>
      <c r="AV45" s="5"/>
      <c r="AW45" s="6"/>
      <c r="AX45" s="7"/>
      <c r="AY45" s="5"/>
      <c r="AZ45" s="5"/>
      <c r="BA45" s="6"/>
    </row>
    <row r="46" spans="2:53" s="18" customFormat="1" ht="16.5" thickBot="1" x14ac:dyDescent="0.3">
      <c r="B46" s="19"/>
      <c r="C46" s="93"/>
      <c r="D46" s="43"/>
      <c r="E46" s="44">
        <f>SUM(F46:BA46)</f>
        <v>3.1</v>
      </c>
      <c r="F46" s="7"/>
      <c r="G46" s="5"/>
      <c r="H46" s="5"/>
      <c r="I46" s="6"/>
      <c r="J46" s="7"/>
      <c r="K46" s="5"/>
      <c r="L46" s="5"/>
      <c r="M46" s="6"/>
      <c r="N46" s="141">
        <v>0.3</v>
      </c>
      <c r="O46" s="142">
        <v>0.25</v>
      </c>
      <c r="P46" s="142">
        <v>0</v>
      </c>
      <c r="Q46" s="143">
        <v>1</v>
      </c>
      <c r="R46" s="141">
        <v>0</v>
      </c>
      <c r="S46" s="142">
        <v>0.25</v>
      </c>
      <c r="T46" s="142">
        <v>0</v>
      </c>
      <c r="U46" s="143">
        <v>1.3</v>
      </c>
      <c r="V46" s="7"/>
      <c r="W46" s="5"/>
      <c r="X46" s="5"/>
      <c r="Y46" s="6"/>
      <c r="Z46" s="7"/>
      <c r="AA46" s="5"/>
      <c r="AB46" s="5"/>
      <c r="AC46" s="6"/>
      <c r="AD46" s="7"/>
      <c r="AE46" s="5"/>
      <c r="AF46" s="5"/>
      <c r="AG46" s="6"/>
      <c r="AH46" s="7"/>
      <c r="AI46" s="5"/>
      <c r="AJ46" s="5"/>
      <c r="AK46" s="6"/>
      <c r="AL46" s="7"/>
      <c r="AM46" s="5"/>
      <c r="AN46" s="5"/>
      <c r="AO46" s="6"/>
      <c r="AP46" s="7"/>
      <c r="AQ46" s="5"/>
      <c r="AR46" s="5"/>
      <c r="AS46" s="6"/>
      <c r="AT46" s="7"/>
      <c r="AU46" s="5"/>
      <c r="AV46" s="5"/>
      <c r="AW46" s="6"/>
      <c r="AX46" s="7"/>
      <c r="AY46" s="5"/>
      <c r="AZ46" s="5"/>
      <c r="BA46" s="6"/>
    </row>
    <row r="47" spans="2:53" s="18" customFormat="1" ht="16.5" thickBot="1" x14ac:dyDescent="0.3">
      <c r="B47" s="19"/>
      <c r="C47" s="93" t="s">
        <v>39</v>
      </c>
      <c r="D47" s="41">
        <f>SUM(F47:BA47)</f>
        <v>6</v>
      </c>
      <c r="E47" s="42"/>
      <c r="F47" s="7"/>
      <c r="G47" s="5"/>
      <c r="H47" s="5"/>
      <c r="I47" s="6"/>
      <c r="J47" s="7"/>
      <c r="K47" s="5"/>
      <c r="L47" s="5"/>
      <c r="M47" s="6"/>
      <c r="N47" s="144">
        <v>1</v>
      </c>
      <c r="O47" s="145">
        <v>1</v>
      </c>
      <c r="P47" s="145">
        <v>1</v>
      </c>
      <c r="Q47" s="146">
        <v>0</v>
      </c>
      <c r="R47" s="144">
        <v>1</v>
      </c>
      <c r="S47" s="145">
        <v>1</v>
      </c>
      <c r="T47" s="145">
        <v>1</v>
      </c>
      <c r="U47" s="146">
        <v>0</v>
      </c>
      <c r="V47" s="7"/>
      <c r="W47" s="5"/>
      <c r="X47" s="5"/>
      <c r="Y47" s="6"/>
      <c r="Z47" s="7"/>
      <c r="AA47" s="5"/>
      <c r="AB47" s="5"/>
      <c r="AC47" s="6"/>
      <c r="AD47" s="7"/>
      <c r="AE47" s="5"/>
      <c r="AF47" s="5"/>
      <c r="AG47" s="6"/>
      <c r="AH47" s="7"/>
      <c r="AI47" s="5"/>
      <c r="AJ47" s="5"/>
      <c r="AK47" s="6"/>
      <c r="AL47" s="7"/>
      <c r="AM47" s="5"/>
      <c r="AN47" s="5"/>
      <c r="AO47" s="6"/>
      <c r="AP47" s="7"/>
      <c r="AQ47" s="5"/>
      <c r="AR47" s="5"/>
      <c r="AS47" s="6"/>
      <c r="AT47" s="7"/>
      <c r="AU47" s="5"/>
      <c r="AV47" s="5"/>
      <c r="AW47" s="6"/>
      <c r="AX47" s="7"/>
      <c r="AY47" s="5"/>
      <c r="AZ47" s="5"/>
      <c r="BA47" s="6"/>
    </row>
    <row r="48" spans="2:53" s="18" customFormat="1" ht="16.5" thickBot="1" x14ac:dyDescent="0.3">
      <c r="B48" s="19"/>
      <c r="C48" s="93"/>
      <c r="D48" s="43"/>
      <c r="E48" s="44">
        <f>SUM(F48:BA48)</f>
        <v>6</v>
      </c>
      <c r="F48" s="7"/>
      <c r="G48" s="5"/>
      <c r="H48" s="5"/>
      <c r="I48" s="6"/>
      <c r="J48" s="7"/>
      <c r="K48" s="5"/>
      <c r="L48" s="5"/>
      <c r="M48" s="6"/>
      <c r="N48" s="141">
        <v>1</v>
      </c>
      <c r="O48" s="142">
        <v>1</v>
      </c>
      <c r="P48" s="142">
        <v>1</v>
      </c>
      <c r="Q48" s="143">
        <v>0</v>
      </c>
      <c r="R48" s="141">
        <v>1</v>
      </c>
      <c r="S48" s="142">
        <v>1</v>
      </c>
      <c r="T48" s="142">
        <v>1</v>
      </c>
      <c r="U48" s="143">
        <v>0</v>
      </c>
      <c r="V48" s="7"/>
      <c r="W48" s="5"/>
      <c r="X48" s="5"/>
      <c r="Y48" s="6"/>
      <c r="Z48" s="7"/>
      <c r="AA48" s="5"/>
      <c r="AB48" s="5"/>
      <c r="AC48" s="6"/>
      <c r="AD48" s="7"/>
      <c r="AE48" s="5"/>
      <c r="AF48" s="5"/>
      <c r="AG48" s="6"/>
      <c r="AH48" s="7"/>
      <c r="AI48" s="5"/>
      <c r="AJ48" s="5"/>
      <c r="AK48" s="6"/>
      <c r="AL48" s="7"/>
      <c r="AM48" s="5"/>
      <c r="AN48" s="5"/>
      <c r="AO48" s="6"/>
      <c r="AP48" s="7"/>
      <c r="AQ48" s="5"/>
      <c r="AR48" s="5"/>
      <c r="AS48" s="6"/>
      <c r="AT48" s="7"/>
      <c r="AU48" s="5"/>
      <c r="AV48" s="5"/>
      <c r="AW48" s="6"/>
      <c r="AX48" s="7"/>
      <c r="AY48" s="5"/>
      <c r="AZ48" s="5"/>
      <c r="BA48" s="6"/>
    </row>
    <row r="49" spans="2:53" s="18" customFormat="1" ht="16.5" thickBot="1" x14ac:dyDescent="0.3">
      <c r="B49" s="19"/>
      <c r="C49" s="93" t="s">
        <v>40</v>
      </c>
      <c r="D49" s="41">
        <f>SUM(F49:BA49)</f>
        <v>8</v>
      </c>
      <c r="E49" s="42"/>
      <c r="F49" s="7"/>
      <c r="G49" s="5"/>
      <c r="H49" s="5"/>
      <c r="I49" s="6"/>
      <c r="J49" s="7"/>
      <c r="K49" s="5"/>
      <c r="L49" s="5"/>
      <c r="M49" s="6"/>
      <c r="N49" s="144">
        <v>1</v>
      </c>
      <c r="O49" s="145">
        <v>1</v>
      </c>
      <c r="P49" s="145">
        <v>1</v>
      </c>
      <c r="Q49" s="146">
        <v>1</v>
      </c>
      <c r="R49" s="144">
        <v>1</v>
      </c>
      <c r="S49" s="145">
        <v>1</v>
      </c>
      <c r="T49" s="145">
        <v>1</v>
      </c>
      <c r="U49" s="146">
        <v>1</v>
      </c>
      <c r="V49" s="7"/>
      <c r="W49" s="5"/>
      <c r="X49" s="5"/>
      <c r="Y49" s="6"/>
      <c r="Z49" s="7"/>
      <c r="AA49" s="5"/>
      <c r="AB49" s="5"/>
      <c r="AC49" s="6"/>
      <c r="AD49" s="7"/>
      <c r="AE49" s="5"/>
      <c r="AF49" s="5"/>
      <c r="AG49" s="6"/>
      <c r="AH49" s="7"/>
      <c r="AI49" s="5"/>
      <c r="AJ49" s="5"/>
      <c r="AK49" s="6"/>
      <c r="AL49" s="7"/>
      <c r="AM49" s="5"/>
      <c r="AN49" s="5"/>
      <c r="AO49" s="6"/>
      <c r="AP49" s="7"/>
      <c r="AQ49" s="5"/>
      <c r="AR49" s="5"/>
      <c r="AS49" s="6"/>
      <c r="AT49" s="7"/>
      <c r="AU49" s="5"/>
      <c r="AV49" s="5"/>
      <c r="AW49" s="6"/>
      <c r="AX49" s="7"/>
      <c r="AY49" s="5"/>
      <c r="AZ49" s="5"/>
      <c r="BA49" s="6"/>
    </row>
    <row r="50" spans="2:53" s="18" customFormat="1" ht="16.5" thickBot="1" x14ac:dyDescent="0.3">
      <c r="B50" s="19"/>
      <c r="C50" s="93"/>
      <c r="D50" s="43"/>
      <c r="E50" s="44">
        <f>SUM(F50:BA50)</f>
        <v>8</v>
      </c>
      <c r="F50" s="7"/>
      <c r="G50" s="5"/>
      <c r="H50" s="5"/>
      <c r="I50" s="6"/>
      <c r="J50" s="7"/>
      <c r="K50" s="5"/>
      <c r="L50" s="5"/>
      <c r="M50" s="6"/>
      <c r="N50" s="141">
        <v>1</v>
      </c>
      <c r="O50" s="142">
        <v>1</v>
      </c>
      <c r="P50" s="142">
        <v>1</v>
      </c>
      <c r="Q50" s="143">
        <v>1</v>
      </c>
      <c r="R50" s="141">
        <v>1</v>
      </c>
      <c r="S50" s="142">
        <v>1</v>
      </c>
      <c r="T50" s="142">
        <v>1</v>
      </c>
      <c r="U50" s="143">
        <v>1</v>
      </c>
      <c r="V50" s="7"/>
      <c r="W50" s="5"/>
      <c r="X50" s="5"/>
      <c r="Y50" s="6"/>
      <c r="Z50" s="7"/>
      <c r="AA50" s="5"/>
      <c r="AB50" s="5"/>
      <c r="AC50" s="6"/>
      <c r="AD50" s="7"/>
      <c r="AE50" s="5"/>
      <c r="AF50" s="5"/>
      <c r="AG50" s="6"/>
      <c r="AH50" s="7"/>
      <c r="AI50" s="5"/>
      <c r="AJ50" s="5"/>
      <c r="AK50" s="6"/>
      <c r="AL50" s="7"/>
      <c r="AM50" s="5"/>
      <c r="AN50" s="5"/>
      <c r="AO50" s="6"/>
      <c r="AP50" s="7"/>
      <c r="AQ50" s="5"/>
      <c r="AR50" s="5"/>
      <c r="AS50" s="6"/>
      <c r="AT50" s="7"/>
      <c r="AU50" s="5"/>
      <c r="AV50" s="5"/>
      <c r="AW50" s="6"/>
      <c r="AX50" s="7"/>
      <c r="AY50" s="5"/>
      <c r="AZ50" s="5"/>
      <c r="BA50" s="6"/>
    </row>
    <row r="51" spans="2:53" s="18" customFormat="1" ht="16.5" thickBot="1" x14ac:dyDescent="0.3">
      <c r="B51" s="19"/>
      <c r="C51" s="94" t="s">
        <v>29</v>
      </c>
      <c r="D51" s="41">
        <f>SUM(F51:BA51)</f>
        <v>4</v>
      </c>
      <c r="E51" s="42"/>
      <c r="F51" s="7"/>
      <c r="G51" s="5"/>
      <c r="H51" s="5"/>
      <c r="I51" s="6"/>
      <c r="J51" s="7"/>
      <c r="K51" s="5"/>
      <c r="L51" s="5"/>
      <c r="M51" s="6"/>
      <c r="N51" s="144">
        <v>0.5</v>
      </c>
      <c r="O51" s="145">
        <v>0.5</v>
      </c>
      <c r="P51" s="145">
        <v>0.5</v>
      </c>
      <c r="Q51" s="146">
        <v>0.5</v>
      </c>
      <c r="R51" s="144">
        <v>0.5</v>
      </c>
      <c r="S51" s="145">
        <v>0.5</v>
      </c>
      <c r="T51" s="145">
        <v>0.5</v>
      </c>
      <c r="U51" s="146">
        <v>0.5</v>
      </c>
      <c r="V51" s="7"/>
      <c r="W51" s="5"/>
      <c r="X51" s="5"/>
      <c r="Y51" s="6"/>
      <c r="Z51" s="7"/>
      <c r="AA51" s="5"/>
      <c r="AB51" s="5"/>
      <c r="AC51" s="6"/>
      <c r="AD51" s="7"/>
      <c r="AE51" s="5"/>
      <c r="AF51" s="5"/>
      <c r="AG51" s="6"/>
      <c r="AH51" s="7"/>
      <c r="AI51" s="5"/>
      <c r="AJ51" s="5"/>
      <c r="AK51" s="6"/>
      <c r="AL51" s="7"/>
      <c r="AM51" s="5"/>
      <c r="AN51" s="5"/>
      <c r="AO51" s="6"/>
      <c r="AP51" s="7"/>
      <c r="AQ51" s="5"/>
      <c r="AR51" s="5"/>
      <c r="AS51" s="6"/>
      <c r="AT51" s="7"/>
      <c r="AU51" s="5"/>
      <c r="AV51" s="5"/>
      <c r="AW51" s="6"/>
      <c r="AX51" s="7"/>
      <c r="AY51" s="5"/>
      <c r="AZ51" s="5"/>
      <c r="BA51" s="6"/>
    </row>
    <row r="52" spans="2:53" s="18" customFormat="1" ht="16.5" thickBot="1" x14ac:dyDescent="0.3">
      <c r="B52" s="19"/>
      <c r="C52" s="94"/>
      <c r="D52" s="43"/>
      <c r="E52" s="44">
        <f>SUM(F52:BA52)</f>
        <v>4</v>
      </c>
      <c r="F52" s="7"/>
      <c r="G52" s="5"/>
      <c r="H52" s="5"/>
      <c r="I52" s="6"/>
      <c r="J52" s="7"/>
      <c r="K52" s="5"/>
      <c r="L52" s="5"/>
      <c r="M52" s="6"/>
      <c r="N52" s="141">
        <v>0.5</v>
      </c>
      <c r="O52" s="142">
        <v>0.5</v>
      </c>
      <c r="P52" s="142">
        <v>0.5</v>
      </c>
      <c r="Q52" s="143">
        <v>0.5</v>
      </c>
      <c r="R52" s="141">
        <v>0.5</v>
      </c>
      <c r="S52" s="142">
        <v>0.5</v>
      </c>
      <c r="T52" s="142">
        <v>0.5</v>
      </c>
      <c r="U52" s="143">
        <v>0.5</v>
      </c>
      <c r="V52" s="7"/>
      <c r="W52" s="5"/>
      <c r="X52" s="5"/>
      <c r="Y52" s="6"/>
      <c r="Z52" s="7"/>
      <c r="AA52" s="5"/>
      <c r="AB52" s="5"/>
      <c r="AC52" s="6"/>
      <c r="AD52" s="7"/>
      <c r="AE52" s="5"/>
      <c r="AF52" s="5"/>
      <c r="AG52" s="6"/>
      <c r="AH52" s="7"/>
      <c r="AI52" s="5"/>
      <c r="AJ52" s="5"/>
      <c r="AK52" s="6"/>
      <c r="AL52" s="7"/>
      <c r="AM52" s="5"/>
      <c r="AN52" s="5"/>
      <c r="AO52" s="6"/>
      <c r="AP52" s="7"/>
      <c r="AQ52" s="5"/>
      <c r="AR52" s="5"/>
      <c r="AS52" s="6"/>
      <c r="AT52" s="7"/>
      <c r="AU52" s="5"/>
      <c r="AV52" s="5"/>
      <c r="AW52" s="6"/>
      <c r="AX52" s="7"/>
      <c r="AY52" s="5"/>
      <c r="AZ52" s="5"/>
      <c r="BA52" s="6"/>
    </row>
    <row r="53" spans="2:53" s="18" customFormat="1" ht="15.75" customHeight="1" thickBot="1" x14ac:dyDescent="0.3">
      <c r="B53" s="19"/>
      <c r="C53" s="94"/>
      <c r="D53" s="41">
        <f>SUM(F53:BA53)</f>
        <v>0</v>
      </c>
      <c r="E53" s="42"/>
      <c r="F53" s="7"/>
      <c r="G53" s="5"/>
      <c r="H53" s="5"/>
      <c r="I53" s="6"/>
      <c r="J53" s="7"/>
      <c r="K53" s="5"/>
      <c r="L53" s="5"/>
      <c r="M53" s="6"/>
      <c r="N53" s="7"/>
      <c r="O53" s="5"/>
      <c r="P53" s="5"/>
      <c r="Q53" s="6"/>
      <c r="R53" s="7"/>
      <c r="S53" s="5"/>
      <c r="T53" s="5"/>
      <c r="U53" s="6"/>
      <c r="V53" s="7"/>
      <c r="W53" s="5"/>
      <c r="X53" s="5"/>
      <c r="Y53" s="6"/>
      <c r="Z53" s="7"/>
      <c r="AA53" s="5"/>
      <c r="AB53" s="5"/>
      <c r="AC53" s="6"/>
      <c r="AD53" s="7"/>
      <c r="AE53" s="5"/>
      <c r="AF53" s="5"/>
      <c r="AG53" s="6"/>
      <c r="AH53" s="7"/>
      <c r="AI53" s="5"/>
      <c r="AJ53" s="5"/>
      <c r="AK53" s="6"/>
      <c r="AL53" s="7"/>
      <c r="AM53" s="5"/>
      <c r="AN53" s="5"/>
      <c r="AO53" s="6"/>
      <c r="AP53" s="7"/>
      <c r="AQ53" s="5"/>
      <c r="AR53" s="5"/>
      <c r="AS53" s="6"/>
      <c r="AT53" s="7"/>
      <c r="AU53" s="5"/>
      <c r="AV53" s="5"/>
      <c r="AW53" s="6"/>
      <c r="AX53" s="7"/>
      <c r="AY53" s="5"/>
      <c r="AZ53" s="5"/>
      <c r="BA53" s="6"/>
    </row>
    <row r="54" spans="2:53" s="18" customFormat="1" ht="13.5" customHeight="1" thickBot="1" x14ac:dyDescent="0.3">
      <c r="B54" s="19"/>
      <c r="C54" s="94"/>
      <c r="D54" s="43"/>
      <c r="E54" s="44">
        <f>SUM(F54:BA54)</f>
        <v>0</v>
      </c>
      <c r="F54" s="7"/>
      <c r="G54" s="5"/>
      <c r="H54" s="5"/>
      <c r="I54" s="6"/>
      <c r="J54" s="7"/>
      <c r="K54" s="5"/>
      <c r="L54" s="5"/>
      <c r="M54" s="6"/>
      <c r="N54" s="7"/>
      <c r="O54" s="5"/>
      <c r="P54" s="5"/>
      <c r="Q54" s="6"/>
      <c r="R54" s="7"/>
      <c r="S54" s="5"/>
      <c r="T54" s="5"/>
      <c r="U54" s="6"/>
      <c r="V54" s="7"/>
      <c r="W54" s="5"/>
      <c r="X54" s="5"/>
      <c r="Y54" s="6"/>
      <c r="Z54" s="7"/>
      <c r="AA54" s="5"/>
      <c r="AB54" s="5"/>
      <c r="AC54" s="6"/>
      <c r="AD54" s="7"/>
      <c r="AE54" s="5"/>
      <c r="AF54" s="5"/>
      <c r="AG54" s="6"/>
      <c r="AH54" s="7"/>
      <c r="AI54" s="5"/>
      <c r="AJ54" s="5"/>
      <c r="AK54" s="6"/>
      <c r="AL54" s="7"/>
      <c r="AM54" s="5"/>
      <c r="AN54" s="5"/>
      <c r="AO54" s="6"/>
      <c r="AP54" s="7"/>
      <c r="AQ54" s="5"/>
      <c r="AR54" s="5"/>
      <c r="AS54" s="6"/>
      <c r="AT54" s="7"/>
      <c r="AU54" s="5"/>
      <c r="AV54" s="5"/>
      <c r="AW54" s="6"/>
      <c r="AX54" s="7"/>
      <c r="AY54" s="5"/>
      <c r="AZ54" s="5"/>
      <c r="BA54" s="6"/>
    </row>
    <row r="55" spans="2:53" s="18" customFormat="1" ht="18.75" thickBot="1" x14ac:dyDescent="0.3">
      <c r="B55" s="19"/>
      <c r="C55" s="45"/>
      <c r="D55" s="46"/>
      <c r="E55" s="47"/>
      <c r="F55" s="7"/>
      <c r="G55" s="5"/>
      <c r="H55" s="5"/>
      <c r="I55" s="6"/>
      <c r="J55" s="7"/>
      <c r="K55" s="5"/>
      <c r="L55" s="5"/>
      <c r="M55" s="6"/>
      <c r="N55" s="7"/>
      <c r="O55" s="5"/>
      <c r="P55" s="5"/>
      <c r="Q55" s="6"/>
      <c r="R55" s="7"/>
      <c r="S55" s="5"/>
      <c r="T55" s="5"/>
      <c r="U55" s="6"/>
      <c r="V55" s="7"/>
      <c r="W55" s="5"/>
      <c r="X55" s="5"/>
      <c r="Y55" s="6"/>
      <c r="Z55" s="7"/>
      <c r="AA55" s="5"/>
      <c r="AB55" s="5"/>
      <c r="AC55" s="6"/>
      <c r="AD55" s="7"/>
      <c r="AE55" s="5"/>
      <c r="AF55" s="5"/>
      <c r="AG55" s="6"/>
      <c r="AH55" s="7"/>
      <c r="AI55" s="5"/>
      <c r="AJ55" s="5"/>
      <c r="AK55" s="6"/>
      <c r="AL55" s="7"/>
      <c r="AM55" s="5"/>
      <c r="AN55" s="5"/>
      <c r="AO55" s="6"/>
      <c r="AP55" s="7"/>
      <c r="AQ55" s="5"/>
      <c r="AR55" s="5"/>
      <c r="AS55" s="6"/>
      <c r="AT55" s="7"/>
      <c r="AU55" s="5"/>
      <c r="AV55" s="5"/>
      <c r="AW55" s="6"/>
      <c r="AX55" s="7"/>
      <c r="AY55" s="5"/>
      <c r="AZ55" s="5"/>
      <c r="BA55" s="6"/>
    </row>
    <row r="56" spans="2:53" s="18" customFormat="1" ht="18.75" thickBot="1" x14ac:dyDescent="0.3">
      <c r="B56" s="36"/>
      <c r="C56" s="48" t="s">
        <v>2</v>
      </c>
      <c r="D56" s="49"/>
      <c r="E56" s="50"/>
      <c r="F56" s="12"/>
      <c r="G56" s="13"/>
      <c r="H56" s="13"/>
      <c r="I56" s="14"/>
      <c r="J56" s="12"/>
      <c r="K56" s="13"/>
      <c r="L56" s="13"/>
      <c r="M56" s="14"/>
      <c r="N56" s="12"/>
      <c r="O56" s="13"/>
      <c r="P56" s="13"/>
      <c r="Q56" s="14"/>
      <c r="R56" s="12"/>
      <c r="S56" s="13"/>
      <c r="T56" s="13"/>
      <c r="U56" s="14"/>
      <c r="V56" s="147"/>
      <c r="W56" s="148"/>
      <c r="X56" s="148"/>
      <c r="Y56" s="149"/>
      <c r="Z56" s="147"/>
      <c r="AA56" s="148"/>
      <c r="AB56" s="148"/>
      <c r="AC56" s="149"/>
      <c r="AD56" s="7"/>
      <c r="AE56" s="5"/>
      <c r="AF56" s="5"/>
      <c r="AG56" s="6"/>
      <c r="AH56" s="7"/>
      <c r="AI56" s="5"/>
      <c r="AJ56" s="5"/>
      <c r="AK56" s="6"/>
      <c r="AL56" s="7"/>
      <c r="AM56" s="5"/>
      <c r="AN56" s="5"/>
      <c r="AO56" s="6"/>
      <c r="AP56" s="7"/>
      <c r="AQ56" s="5"/>
      <c r="AR56" s="5"/>
      <c r="AS56" s="6"/>
      <c r="AT56" s="7"/>
      <c r="AU56" s="5"/>
      <c r="AV56" s="5"/>
      <c r="AW56" s="6"/>
      <c r="AX56" s="7"/>
      <c r="AY56" s="5"/>
      <c r="AZ56" s="5"/>
      <c r="BA56" s="6"/>
    </row>
    <row r="57" spans="2:53" s="18" customFormat="1" ht="16.5" thickBot="1" x14ac:dyDescent="0.3">
      <c r="B57" s="19"/>
      <c r="C57" s="93" t="s">
        <v>41</v>
      </c>
      <c r="D57" s="41">
        <f>SUM(F57:BA57)</f>
        <v>7.95</v>
      </c>
      <c r="E57" s="42"/>
      <c r="F57" s="7"/>
      <c r="G57" s="5"/>
      <c r="H57" s="5"/>
      <c r="I57" s="6"/>
      <c r="J57" s="7"/>
      <c r="K57" s="5"/>
      <c r="L57" s="5"/>
      <c r="M57" s="6"/>
      <c r="N57" s="7"/>
      <c r="O57" s="5"/>
      <c r="P57" s="5"/>
      <c r="Q57" s="6"/>
      <c r="R57" s="7"/>
      <c r="S57" s="5"/>
      <c r="T57" s="5"/>
      <c r="U57" s="6"/>
      <c r="V57" s="147">
        <v>1</v>
      </c>
      <c r="W57" s="148">
        <v>1.45</v>
      </c>
      <c r="X57" s="148">
        <v>0</v>
      </c>
      <c r="Y57" s="149">
        <v>2</v>
      </c>
      <c r="Z57" s="147">
        <v>1</v>
      </c>
      <c r="AA57" s="148">
        <v>1</v>
      </c>
      <c r="AB57" s="148">
        <v>0.5</v>
      </c>
      <c r="AC57" s="149">
        <v>1</v>
      </c>
      <c r="AD57" s="7"/>
      <c r="AE57" s="5"/>
      <c r="AF57" s="5"/>
      <c r="AG57" s="6"/>
      <c r="AH57" s="7"/>
      <c r="AI57" s="5"/>
      <c r="AJ57" s="5"/>
      <c r="AK57" s="6"/>
      <c r="AL57" s="7"/>
      <c r="AM57" s="5"/>
      <c r="AN57" s="5"/>
      <c r="AO57" s="6"/>
      <c r="AP57" s="7"/>
      <c r="AQ57" s="5"/>
      <c r="AR57" s="5"/>
      <c r="AS57" s="6"/>
      <c r="AT57" s="7"/>
      <c r="AU57" s="5"/>
      <c r="AV57" s="5"/>
      <c r="AW57" s="6"/>
      <c r="AX57" s="7"/>
      <c r="AY57" s="5"/>
      <c r="AZ57" s="5"/>
      <c r="BA57" s="6"/>
    </row>
    <row r="58" spans="2:53" s="18" customFormat="1" ht="16.5" thickBot="1" x14ac:dyDescent="0.3">
      <c r="B58" s="19"/>
      <c r="C58" s="93"/>
      <c r="D58" s="43"/>
      <c r="E58" s="44">
        <f>SUM(F58:BA58)</f>
        <v>7.95</v>
      </c>
      <c r="F58" s="7"/>
      <c r="G58" s="5"/>
      <c r="H58" s="5"/>
      <c r="I58" s="6"/>
      <c r="J58" s="7"/>
      <c r="K58" s="5"/>
      <c r="L58" s="5"/>
      <c r="M58" s="6"/>
      <c r="N58" s="7"/>
      <c r="O58" s="5"/>
      <c r="P58" s="5"/>
      <c r="Q58" s="6"/>
      <c r="R58" s="7"/>
      <c r="S58" s="5"/>
      <c r="T58" s="5"/>
      <c r="U58" s="6"/>
      <c r="V58" s="150">
        <v>1</v>
      </c>
      <c r="W58" s="151">
        <v>1.45</v>
      </c>
      <c r="X58" s="151">
        <v>0</v>
      </c>
      <c r="Y58" s="152">
        <v>2</v>
      </c>
      <c r="Z58" s="150">
        <v>1</v>
      </c>
      <c r="AA58" s="151">
        <v>1</v>
      </c>
      <c r="AB58" s="151">
        <v>0.5</v>
      </c>
      <c r="AC58" s="152">
        <v>1</v>
      </c>
      <c r="AD58" s="7"/>
      <c r="AE58" s="5"/>
      <c r="AF58" s="5"/>
      <c r="AG58" s="6"/>
      <c r="AH58" s="7"/>
      <c r="AI58" s="5"/>
      <c r="AJ58" s="5"/>
      <c r="AK58" s="6"/>
      <c r="AL58" s="7"/>
      <c r="AM58" s="5"/>
      <c r="AN58" s="5"/>
      <c r="AO58" s="6"/>
      <c r="AP58" s="7"/>
      <c r="AQ58" s="5"/>
      <c r="AR58" s="5"/>
      <c r="AS58" s="6"/>
      <c r="AT58" s="7"/>
      <c r="AU58" s="5"/>
      <c r="AV58" s="5"/>
      <c r="AW58" s="6"/>
      <c r="AX58" s="7"/>
      <c r="AY58" s="5"/>
      <c r="AZ58" s="5"/>
      <c r="BA58" s="6"/>
    </row>
    <row r="59" spans="2:53" s="18" customFormat="1" ht="18" customHeight="1" thickBot="1" x14ac:dyDescent="0.3">
      <c r="B59" s="19"/>
      <c r="C59" s="93" t="s">
        <v>42</v>
      </c>
      <c r="D59" s="41">
        <f>SUM(F59:BA59)</f>
        <v>4.25</v>
      </c>
      <c r="E59" s="42"/>
      <c r="F59" s="7"/>
      <c r="G59" s="5"/>
      <c r="H59" s="5"/>
      <c r="I59" s="6"/>
      <c r="J59" s="7"/>
      <c r="K59" s="5"/>
      <c r="L59" s="5"/>
      <c r="M59" s="6"/>
      <c r="N59" s="7"/>
      <c r="O59" s="5"/>
      <c r="P59" s="5"/>
      <c r="Q59" s="6"/>
      <c r="R59" s="7"/>
      <c r="S59" s="5"/>
      <c r="T59" s="5"/>
      <c r="U59" s="6"/>
      <c r="V59" s="147">
        <v>1</v>
      </c>
      <c r="W59" s="148">
        <v>1</v>
      </c>
      <c r="X59" s="148">
        <v>0</v>
      </c>
      <c r="Y59" s="149">
        <v>0.25</v>
      </c>
      <c r="Z59" s="147">
        <v>1</v>
      </c>
      <c r="AA59" s="148">
        <v>0.5</v>
      </c>
      <c r="AB59" s="148">
        <v>0.5</v>
      </c>
      <c r="AC59" s="149">
        <v>0</v>
      </c>
      <c r="AD59" s="7"/>
      <c r="AE59" s="5"/>
      <c r="AF59" s="5"/>
      <c r="AG59" s="6"/>
      <c r="AH59" s="7"/>
      <c r="AI59" s="5"/>
      <c r="AJ59" s="5"/>
      <c r="AK59" s="6"/>
      <c r="AL59" s="7"/>
      <c r="AM59" s="5"/>
      <c r="AN59" s="5"/>
      <c r="AO59" s="6"/>
      <c r="AP59" s="7"/>
      <c r="AQ59" s="5"/>
      <c r="AR59" s="5"/>
      <c r="AS59" s="6"/>
      <c r="AT59" s="7"/>
      <c r="AU59" s="5"/>
      <c r="AV59" s="5"/>
      <c r="AW59" s="6"/>
      <c r="AX59" s="7"/>
      <c r="AY59" s="5"/>
      <c r="AZ59" s="5"/>
      <c r="BA59" s="6"/>
    </row>
    <row r="60" spans="2:53" s="18" customFormat="1" ht="16.5" thickBot="1" x14ac:dyDescent="0.3">
      <c r="B60" s="19"/>
      <c r="C60" s="93"/>
      <c r="D60" s="43"/>
      <c r="E60" s="44">
        <f>SUM(F60:BA60)</f>
        <v>4.25</v>
      </c>
      <c r="F60" s="7"/>
      <c r="G60" s="5"/>
      <c r="H60" s="5"/>
      <c r="I60" s="6"/>
      <c r="J60" s="7"/>
      <c r="K60" s="5"/>
      <c r="L60" s="5"/>
      <c r="M60" s="6"/>
      <c r="N60" s="7"/>
      <c r="O60" s="5"/>
      <c r="P60" s="5"/>
      <c r="Q60" s="6"/>
      <c r="R60" s="7"/>
      <c r="S60" s="5"/>
      <c r="T60" s="5"/>
      <c r="U60" s="6"/>
      <c r="V60" s="150">
        <v>1</v>
      </c>
      <c r="W60" s="151">
        <v>1</v>
      </c>
      <c r="X60" s="151">
        <v>0</v>
      </c>
      <c r="Y60" s="152">
        <v>0.25</v>
      </c>
      <c r="Z60" s="150">
        <v>1</v>
      </c>
      <c r="AA60" s="151">
        <v>0.5</v>
      </c>
      <c r="AB60" s="151">
        <v>0.5</v>
      </c>
      <c r="AC60" s="152">
        <v>0</v>
      </c>
      <c r="AD60" s="7"/>
      <c r="AE60" s="5"/>
      <c r="AF60" s="5"/>
      <c r="AG60" s="6"/>
      <c r="AH60" s="7"/>
      <c r="AI60" s="5"/>
      <c r="AJ60" s="5"/>
      <c r="AK60" s="6"/>
      <c r="AL60" s="7"/>
      <c r="AM60" s="5"/>
      <c r="AN60" s="5"/>
      <c r="AO60" s="6"/>
      <c r="AP60" s="7"/>
      <c r="AQ60" s="5"/>
      <c r="AR60" s="5"/>
      <c r="AS60" s="6"/>
      <c r="AT60" s="7"/>
      <c r="AU60" s="5"/>
      <c r="AV60" s="5"/>
      <c r="AW60" s="6"/>
      <c r="AX60" s="7"/>
      <c r="AY60" s="5"/>
      <c r="AZ60" s="5"/>
      <c r="BA60" s="6"/>
    </row>
    <row r="61" spans="2:53" s="18" customFormat="1" ht="17.25" customHeight="1" thickBot="1" x14ac:dyDescent="0.3">
      <c r="B61" s="19"/>
      <c r="C61" s="93" t="s">
        <v>43</v>
      </c>
      <c r="D61" s="41">
        <f>SUM(F61:BA61)</f>
        <v>5.25</v>
      </c>
      <c r="E61" s="42"/>
      <c r="F61" s="7"/>
      <c r="G61" s="5"/>
      <c r="H61" s="5"/>
      <c r="I61" s="6"/>
      <c r="J61" s="7"/>
      <c r="K61" s="5"/>
      <c r="L61" s="5"/>
      <c r="M61" s="6"/>
      <c r="N61" s="7"/>
      <c r="O61" s="5"/>
      <c r="P61" s="5"/>
      <c r="Q61" s="6"/>
      <c r="R61" s="7"/>
      <c r="S61" s="5"/>
      <c r="T61" s="5"/>
      <c r="U61" s="6"/>
      <c r="V61" s="147">
        <v>1</v>
      </c>
      <c r="W61" s="148">
        <v>1</v>
      </c>
      <c r="X61" s="148">
        <v>1</v>
      </c>
      <c r="Y61" s="149">
        <v>0.5</v>
      </c>
      <c r="Z61" s="147">
        <v>0</v>
      </c>
      <c r="AA61" s="148">
        <v>1</v>
      </c>
      <c r="AB61" s="148">
        <v>0.5</v>
      </c>
      <c r="AC61" s="149">
        <v>0.25</v>
      </c>
      <c r="AD61" s="7"/>
      <c r="AE61" s="5"/>
      <c r="AF61" s="5"/>
      <c r="AG61" s="6"/>
      <c r="AH61" s="7"/>
      <c r="AI61" s="5"/>
      <c r="AJ61" s="5"/>
      <c r="AK61" s="6"/>
      <c r="AL61" s="7"/>
      <c r="AM61" s="5"/>
      <c r="AN61" s="5"/>
      <c r="AO61" s="6"/>
      <c r="AP61" s="7"/>
      <c r="AQ61" s="5"/>
      <c r="AR61" s="5"/>
      <c r="AS61" s="6"/>
      <c r="AT61" s="7"/>
      <c r="AU61" s="5"/>
      <c r="AV61" s="5"/>
      <c r="AW61" s="6"/>
      <c r="AX61" s="7"/>
      <c r="AY61" s="5"/>
      <c r="AZ61" s="5"/>
      <c r="BA61" s="6"/>
    </row>
    <row r="62" spans="2:53" s="18" customFormat="1" ht="16.5" thickBot="1" x14ac:dyDescent="0.3">
      <c r="B62" s="19"/>
      <c r="C62" s="93"/>
      <c r="D62" s="43"/>
      <c r="E62" s="44">
        <f>SUM(F62:BA62)</f>
        <v>5.25</v>
      </c>
      <c r="F62" s="7"/>
      <c r="G62" s="5"/>
      <c r="H62" s="5"/>
      <c r="I62" s="6"/>
      <c r="J62" s="7"/>
      <c r="K62" s="5"/>
      <c r="L62" s="5"/>
      <c r="M62" s="6"/>
      <c r="N62" s="7"/>
      <c r="O62" s="5"/>
      <c r="P62" s="5"/>
      <c r="Q62" s="6"/>
      <c r="R62" s="7"/>
      <c r="S62" s="5"/>
      <c r="T62" s="5"/>
      <c r="U62" s="6"/>
      <c r="V62" s="150">
        <v>1</v>
      </c>
      <c r="W62" s="151">
        <v>1</v>
      </c>
      <c r="X62" s="151">
        <v>1</v>
      </c>
      <c r="Y62" s="152">
        <v>0.5</v>
      </c>
      <c r="Z62" s="150">
        <v>0</v>
      </c>
      <c r="AA62" s="151">
        <v>1</v>
      </c>
      <c r="AB62" s="151">
        <v>0.5</v>
      </c>
      <c r="AC62" s="152">
        <v>0.25</v>
      </c>
      <c r="AD62" s="7"/>
      <c r="AE62" s="5"/>
      <c r="AF62" s="5"/>
      <c r="AG62" s="6"/>
      <c r="AH62" s="7"/>
      <c r="AI62" s="5"/>
      <c r="AJ62" s="5"/>
      <c r="AK62" s="6"/>
      <c r="AL62" s="7"/>
      <c r="AM62" s="5"/>
      <c r="AN62" s="5"/>
      <c r="AO62" s="6"/>
      <c r="AP62" s="7"/>
      <c r="AQ62" s="5"/>
      <c r="AR62" s="5"/>
      <c r="AS62" s="6"/>
      <c r="AT62" s="7"/>
      <c r="AU62" s="5"/>
      <c r="AV62" s="5"/>
      <c r="AW62" s="6"/>
      <c r="AX62" s="7"/>
      <c r="AY62" s="5"/>
      <c r="AZ62" s="5"/>
      <c r="BA62" s="6"/>
    </row>
    <row r="63" spans="2:53" s="18" customFormat="1" ht="16.5" thickBot="1" x14ac:dyDescent="0.3">
      <c r="B63" s="19"/>
      <c r="C63" s="93" t="s">
        <v>44</v>
      </c>
      <c r="D63" s="41">
        <f>SUM(F63:BA63)</f>
        <v>5</v>
      </c>
      <c r="E63" s="42"/>
      <c r="F63" s="7"/>
      <c r="G63" s="5"/>
      <c r="H63" s="5"/>
      <c r="I63" s="6"/>
      <c r="J63" s="7"/>
      <c r="K63" s="5"/>
      <c r="L63" s="5"/>
      <c r="M63" s="6"/>
      <c r="N63" s="7"/>
      <c r="O63" s="5"/>
      <c r="P63" s="5"/>
      <c r="Q63" s="6"/>
      <c r="R63" s="7"/>
      <c r="S63" s="5"/>
      <c r="T63" s="5"/>
      <c r="U63" s="6"/>
      <c r="V63" s="147">
        <v>0</v>
      </c>
      <c r="W63" s="148">
        <v>1</v>
      </c>
      <c r="X63" s="148">
        <v>1</v>
      </c>
      <c r="Y63" s="149">
        <v>1</v>
      </c>
      <c r="Z63" s="147">
        <v>0.5</v>
      </c>
      <c r="AA63" s="148">
        <v>0.5</v>
      </c>
      <c r="AB63" s="148">
        <v>0.5</v>
      </c>
      <c r="AC63" s="149">
        <v>0.5</v>
      </c>
      <c r="AD63" s="7"/>
      <c r="AE63" s="5"/>
      <c r="AF63" s="5"/>
      <c r="AG63" s="6"/>
      <c r="AH63" s="7"/>
      <c r="AI63" s="5"/>
      <c r="AJ63" s="5"/>
      <c r="AK63" s="6"/>
      <c r="AL63" s="7"/>
      <c r="AM63" s="5"/>
      <c r="AN63" s="5"/>
      <c r="AO63" s="6"/>
      <c r="AP63" s="7"/>
      <c r="AQ63" s="5"/>
      <c r="AR63" s="5"/>
      <c r="AS63" s="6"/>
      <c r="AT63" s="7"/>
      <c r="AU63" s="5"/>
      <c r="AV63" s="5"/>
      <c r="AW63" s="6"/>
      <c r="AX63" s="7"/>
      <c r="AY63" s="5"/>
      <c r="AZ63" s="5"/>
      <c r="BA63" s="6"/>
    </row>
    <row r="64" spans="2:53" s="18" customFormat="1" ht="16.5" thickBot="1" x14ac:dyDescent="0.3">
      <c r="B64" s="19"/>
      <c r="C64" s="93"/>
      <c r="D64" s="43"/>
      <c r="E64" s="44">
        <f>SUM(F64:BA64)</f>
        <v>5</v>
      </c>
      <c r="F64" s="7"/>
      <c r="G64" s="5"/>
      <c r="H64" s="5"/>
      <c r="I64" s="6"/>
      <c r="J64" s="7"/>
      <c r="K64" s="5"/>
      <c r="L64" s="5"/>
      <c r="M64" s="6"/>
      <c r="N64" s="7"/>
      <c r="O64" s="5"/>
      <c r="P64" s="5"/>
      <c r="Q64" s="6"/>
      <c r="R64" s="7"/>
      <c r="S64" s="5"/>
      <c r="T64" s="5"/>
      <c r="U64" s="6"/>
      <c r="V64" s="150">
        <v>0</v>
      </c>
      <c r="W64" s="151">
        <v>1</v>
      </c>
      <c r="X64" s="151">
        <v>1</v>
      </c>
      <c r="Y64" s="152">
        <v>1</v>
      </c>
      <c r="Z64" s="150">
        <v>0.5</v>
      </c>
      <c r="AA64" s="151">
        <v>0.5</v>
      </c>
      <c r="AB64" s="151">
        <v>0.5</v>
      </c>
      <c r="AC64" s="152">
        <v>0.5</v>
      </c>
      <c r="AD64" s="7"/>
      <c r="AE64" s="5"/>
      <c r="AF64" s="5"/>
      <c r="AG64" s="6"/>
      <c r="AH64" s="7"/>
      <c r="AI64" s="5"/>
      <c r="AJ64" s="5"/>
      <c r="AK64" s="6"/>
      <c r="AL64" s="7"/>
      <c r="AM64" s="5"/>
      <c r="AN64" s="5"/>
      <c r="AO64" s="6"/>
      <c r="AP64" s="7"/>
      <c r="AQ64" s="5"/>
      <c r="AR64" s="5"/>
      <c r="AS64" s="6"/>
      <c r="AT64" s="7"/>
      <c r="AU64" s="5"/>
      <c r="AV64" s="5"/>
      <c r="AW64" s="6"/>
      <c r="AX64" s="7"/>
      <c r="AY64" s="5"/>
      <c r="AZ64" s="5"/>
      <c r="BA64" s="6"/>
    </row>
    <row r="65" spans="2:53" s="18" customFormat="1" ht="15.75" customHeight="1" thickBot="1" x14ac:dyDescent="0.3">
      <c r="B65" s="19"/>
      <c r="C65" s="93" t="s">
        <v>45</v>
      </c>
      <c r="D65" s="41">
        <f>SUM(F65:BA65)</f>
        <v>2.75</v>
      </c>
      <c r="E65" s="42"/>
      <c r="F65" s="7"/>
      <c r="G65" s="5"/>
      <c r="H65" s="5"/>
      <c r="I65" s="6"/>
      <c r="J65" s="7"/>
      <c r="K65" s="5"/>
      <c r="L65" s="5"/>
      <c r="M65" s="6"/>
      <c r="N65" s="7"/>
      <c r="O65" s="5"/>
      <c r="P65" s="5"/>
      <c r="Q65" s="6"/>
      <c r="R65" s="7"/>
      <c r="S65" s="5"/>
      <c r="T65" s="5"/>
      <c r="U65" s="6"/>
      <c r="V65" s="147">
        <v>0</v>
      </c>
      <c r="W65" s="148">
        <v>0</v>
      </c>
      <c r="X65" s="148">
        <v>0</v>
      </c>
      <c r="Y65" s="149">
        <v>0</v>
      </c>
      <c r="Z65" s="147">
        <v>0.5</v>
      </c>
      <c r="AA65" s="148">
        <v>1</v>
      </c>
      <c r="AB65" s="148">
        <v>1</v>
      </c>
      <c r="AC65" s="149">
        <v>0.25</v>
      </c>
      <c r="AD65" s="7"/>
      <c r="AE65" s="5"/>
      <c r="AF65" s="5"/>
      <c r="AG65" s="6"/>
      <c r="AH65" s="7"/>
      <c r="AI65" s="5"/>
      <c r="AJ65" s="5"/>
      <c r="AK65" s="6"/>
      <c r="AL65" s="7"/>
      <c r="AM65" s="5"/>
      <c r="AN65" s="5"/>
      <c r="AO65" s="6"/>
      <c r="AP65" s="7"/>
      <c r="AQ65" s="5"/>
      <c r="AR65" s="5"/>
      <c r="AS65" s="6"/>
      <c r="AT65" s="7"/>
      <c r="AU65" s="5"/>
      <c r="AV65" s="5"/>
      <c r="AW65" s="6"/>
      <c r="AX65" s="7"/>
      <c r="AY65" s="5"/>
      <c r="AZ65" s="5"/>
      <c r="BA65" s="6"/>
    </row>
    <row r="66" spans="2:53" s="18" customFormat="1" ht="16.5" thickBot="1" x14ac:dyDescent="0.3">
      <c r="B66" s="19"/>
      <c r="C66" s="93"/>
      <c r="D66" s="43"/>
      <c r="E66" s="44">
        <f>SUM(F66:BA66)</f>
        <v>2.75</v>
      </c>
      <c r="F66" s="7"/>
      <c r="G66" s="5"/>
      <c r="H66" s="5"/>
      <c r="I66" s="6"/>
      <c r="J66" s="7"/>
      <c r="K66" s="5"/>
      <c r="L66" s="5"/>
      <c r="M66" s="6"/>
      <c r="N66" s="7"/>
      <c r="O66" s="5"/>
      <c r="P66" s="5"/>
      <c r="Q66" s="6"/>
      <c r="R66" s="7"/>
      <c r="S66" s="5"/>
      <c r="T66" s="5"/>
      <c r="U66" s="6"/>
      <c r="V66" s="150">
        <v>0</v>
      </c>
      <c r="W66" s="151">
        <v>0</v>
      </c>
      <c r="X66" s="151">
        <v>0</v>
      </c>
      <c r="Y66" s="152">
        <v>0</v>
      </c>
      <c r="Z66" s="150">
        <v>0.5</v>
      </c>
      <c r="AA66" s="151">
        <v>1</v>
      </c>
      <c r="AB66" s="151">
        <v>1</v>
      </c>
      <c r="AC66" s="152">
        <v>0.25</v>
      </c>
      <c r="AD66" s="7"/>
      <c r="AE66" s="5"/>
      <c r="AF66" s="5"/>
      <c r="AG66" s="6"/>
      <c r="AH66" s="7"/>
      <c r="AI66" s="5"/>
      <c r="AJ66" s="5"/>
      <c r="AK66" s="6"/>
      <c r="AL66" s="7"/>
      <c r="AM66" s="5"/>
      <c r="AN66" s="5"/>
      <c r="AO66" s="6"/>
      <c r="AP66" s="7"/>
      <c r="AQ66" s="5"/>
      <c r="AR66" s="5"/>
      <c r="AS66" s="6"/>
      <c r="AT66" s="7"/>
      <c r="AU66" s="5"/>
      <c r="AV66" s="5"/>
      <c r="AW66" s="6"/>
      <c r="AX66" s="7"/>
      <c r="AY66" s="5"/>
      <c r="AZ66" s="5"/>
      <c r="BA66" s="6"/>
    </row>
    <row r="67" spans="2:53" s="18" customFormat="1" ht="16.5" thickBot="1" x14ac:dyDescent="0.3">
      <c r="B67" s="19"/>
      <c r="C67" s="93" t="s">
        <v>29</v>
      </c>
      <c r="D67" s="41">
        <f>SUM(F67:BA67)</f>
        <v>2.8</v>
      </c>
      <c r="E67" s="42"/>
      <c r="F67" s="7"/>
      <c r="G67" s="5"/>
      <c r="H67" s="5"/>
      <c r="I67" s="6"/>
      <c r="J67" s="7"/>
      <c r="K67" s="5"/>
      <c r="L67" s="5"/>
      <c r="M67" s="6"/>
      <c r="N67" s="7"/>
      <c r="O67" s="5"/>
      <c r="P67" s="5"/>
      <c r="Q67" s="6"/>
      <c r="R67" s="7"/>
      <c r="S67" s="5"/>
      <c r="T67" s="5"/>
      <c r="U67" s="6"/>
      <c r="V67" s="147">
        <v>0.2</v>
      </c>
      <c r="W67" s="148">
        <v>0.2</v>
      </c>
      <c r="X67" s="148">
        <v>0.2</v>
      </c>
      <c r="Y67" s="149">
        <v>0.2</v>
      </c>
      <c r="Z67" s="147">
        <v>0.5</v>
      </c>
      <c r="AA67" s="148">
        <v>0.5</v>
      </c>
      <c r="AB67" s="148">
        <v>0.5</v>
      </c>
      <c r="AC67" s="149">
        <v>0.5</v>
      </c>
      <c r="AD67" s="7"/>
      <c r="AE67" s="5"/>
      <c r="AF67" s="5"/>
      <c r="AG67" s="6"/>
      <c r="AH67" s="7"/>
      <c r="AI67" s="5"/>
      <c r="AJ67" s="5"/>
      <c r="AK67" s="6"/>
      <c r="AL67" s="7"/>
      <c r="AM67" s="5"/>
      <c r="AN67" s="5"/>
      <c r="AO67" s="6"/>
      <c r="AP67" s="7"/>
      <c r="AQ67" s="5"/>
      <c r="AR67" s="5"/>
      <c r="AS67" s="6"/>
      <c r="AT67" s="7"/>
      <c r="AU67" s="5"/>
      <c r="AV67" s="5"/>
      <c r="AW67" s="6"/>
      <c r="AX67" s="7"/>
      <c r="AY67" s="5"/>
      <c r="AZ67" s="5"/>
      <c r="BA67" s="6"/>
    </row>
    <row r="68" spans="2:53" s="18" customFormat="1" ht="16.5" thickBot="1" x14ac:dyDescent="0.3">
      <c r="B68" s="19"/>
      <c r="C68" s="93"/>
      <c r="D68" s="43"/>
      <c r="E68" s="44">
        <f>SUM(F68:BA68)</f>
        <v>2.8</v>
      </c>
      <c r="F68" s="7"/>
      <c r="G68" s="5"/>
      <c r="H68" s="5"/>
      <c r="I68" s="6"/>
      <c r="J68" s="7"/>
      <c r="K68" s="5"/>
      <c r="L68" s="5"/>
      <c r="M68" s="6"/>
      <c r="N68" s="7"/>
      <c r="O68" s="5"/>
      <c r="P68" s="5"/>
      <c r="Q68" s="6"/>
      <c r="R68" s="7"/>
      <c r="S68" s="5"/>
      <c r="T68" s="5"/>
      <c r="U68" s="6"/>
      <c r="V68" s="150">
        <v>0.2</v>
      </c>
      <c r="W68" s="151">
        <v>0.2</v>
      </c>
      <c r="X68" s="151">
        <v>0.2</v>
      </c>
      <c r="Y68" s="152">
        <v>0.2</v>
      </c>
      <c r="Z68" s="150">
        <v>0.5</v>
      </c>
      <c r="AA68" s="151">
        <v>0.5</v>
      </c>
      <c r="AB68" s="151">
        <v>0.5</v>
      </c>
      <c r="AC68" s="152">
        <v>0.5</v>
      </c>
      <c r="AD68" s="7"/>
      <c r="AE68" s="5"/>
      <c r="AF68" s="5"/>
      <c r="AG68" s="6"/>
      <c r="AH68" s="7"/>
      <c r="AI68" s="5"/>
      <c r="AJ68" s="5"/>
      <c r="AK68" s="6"/>
      <c r="AL68" s="7"/>
      <c r="AM68" s="5"/>
      <c r="AN68" s="5"/>
      <c r="AO68" s="6"/>
      <c r="AP68" s="7"/>
      <c r="AQ68" s="5"/>
      <c r="AR68" s="5"/>
      <c r="AS68" s="6"/>
      <c r="AT68" s="7"/>
      <c r="AU68" s="5"/>
      <c r="AV68" s="5"/>
      <c r="AW68" s="6"/>
      <c r="AX68" s="7"/>
      <c r="AY68" s="5"/>
      <c r="AZ68" s="5"/>
      <c r="BA68" s="6"/>
    </row>
    <row r="69" spans="2:53" s="18" customFormat="1" ht="16.5" thickBot="1" x14ac:dyDescent="0.3">
      <c r="B69" s="19"/>
      <c r="C69" s="94"/>
      <c r="D69" s="41">
        <f>SUM(F69:BA69)</f>
        <v>0</v>
      </c>
      <c r="E69" s="42"/>
      <c r="F69" s="7"/>
      <c r="G69" s="5"/>
      <c r="H69" s="5"/>
      <c r="I69" s="6"/>
      <c r="J69" s="7"/>
      <c r="K69" s="5"/>
      <c r="L69" s="5"/>
      <c r="M69" s="6"/>
      <c r="N69" s="7"/>
      <c r="O69" s="5"/>
      <c r="P69" s="5"/>
      <c r="Q69" s="6"/>
      <c r="R69" s="7"/>
      <c r="S69" s="5"/>
      <c r="T69" s="5"/>
      <c r="U69" s="6"/>
      <c r="V69" s="7"/>
      <c r="W69" s="5"/>
      <c r="X69" s="5"/>
      <c r="Y69" s="6"/>
      <c r="Z69" s="7"/>
      <c r="AA69" s="5"/>
      <c r="AB69" s="5"/>
      <c r="AC69" s="6"/>
      <c r="AD69" s="7"/>
      <c r="AE69" s="5"/>
      <c r="AF69" s="5"/>
      <c r="AG69" s="6"/>
      <c r="AH69" s="7"/>
      <c r="AI69" s="5"/>
      <c r="AJ69" s="5"/>
      <c r="AK69" s="6"/>
      <c r="AL69" s="7"/>
      <c r="AM69" s="5"/>
      <c r="AN69" s="5"/>
      <c r="AO69" s="6"/>
      <c r="AP69" s="7"/>
      <c r="AQ69" s="5"/>
      <c r="AR69" s="5"/>
      <c r="AS69" s="6"/>
      <c r="AT69" s="7"/>
      <c r="AU69" s="5"/>
      <c r="AV69" s="5"/>
      <c r="AW69" s="6"/>
      <c r="AX69" s="7"/>
      <c r="AY69" s="5"/>
      <c r="AZ69" s="5"/>
      <c r="BA69" s="6"/>
    </row>
    <row r="70" spans="2:53" s="18" customFormat="1" ht="16.5" thickBot="1" x14ac:dyDescent="0.3">
      <c r="B70" s="19"/>
      <c r="C70" s="94"/>
      <c r="D70" s="43"/>
      <c r="E70" s="44">
        <f>SUM(F70:BA70)</f>
        <v>0</v>
      </c>
      <c r="F70" s="7"/>
      <c r="G70" s="5"/>
      <c r="H70" s="5"/>
      <c r="I70" s="6"/>
      <c r="J70" s="7"/>
      <c r="K70" s="5"/>
      <c r="L70" s="5"/>
      <c r="M70" s="6"/>
      <c r="N70" s="7"/>
      <c r="O70" s="5"/>
      <c r="P70" s="5"/>
      <c r="Q70" s="6"/>
      <c r="R70" s="7"/>
      <c r="S70" s="5"/>
      <c r="T70" s="5"/>
      <c r="U70" s="6"/>
      <c r="V70" s="7"/>
      <c r="W70" s="5"/>
      <c r="X70" s="5"/>
      <c r="Y70" s="6"/>
      <c r="Z70" s="7"/>
      <c r="AA70" s="5"/>
      <c r="AB70" s="5"/>
      <c r="AC70" s="6"/>
      <c r="AD70" s="7"/>
      <c r="AE70" s="5"/>
      <c r="AF70" s="5"/>
      <c r="AG70" s="6"/>
      <c r="AH70" s="7"/>
      <c r="AI70" s="5"/>
      <c r="AJ70" s="5"/>
      <c r="AK70" s="6"/>
      <c r="AL70" s="7"/>
      <c r="AM70" s="5"/>
      <c r="AN70" s="5"/>
      <c r="AO70" s="6"/>
      <c r="AP70" s="7"/>
      <c r="AQ70" s="5"/>
      <c r="AR70" s="5"/>
      <c r="AS70" s="6"/>
      <c r="AT70" s="7"/>
      <c r="AU70" s="5"/>
      <c r="AV70" s="5"/>
      <c r="AW70" s="6"/>
      <c r="AX70" s="7"/>
      <c r="AY70" s="5"/>
      <c r="AZ70" s="5"/>
      <c r="BA70" s="6"/>
    </row>
    <row r="71" spans="2:53" s="18" customFormat="1" ht="16.5" thickBot="1" x14ac:dyDescent="0.3">
      <c r="B71" s="19"/>
      <c r="C71" s="94"/>
      <c r="D71" s="41">
        <f>SUM(F71:BA71)</f>
        <v>0</v>
      </c>
      <c r="E71" s="42"/>
      <c r="F71" s="7"/>
      <c r="G71" s="5"/>
      <c r="H71" s="5"/>
      <c r="I71" s="6"/>
      <c r="J71" s="7"/>
      <c r="K71" s="5"/>
      <c r="L71" s="5"/>
      <c r="M71" s="6"/>
      <c r="N71" s="7"/>
      <c r="O71" s="5"/>
      <c r="P71" s="5"/>
      <c r="Q71" s="6"/>
      <c r="R71" s="7"/>
      <c r="S71" s="5"/>
      <c r="T71" s="5"/>
      <c r="U71" s="6"/>
      <c r="V71" s="7"/>
      <c r="W71" s="5"/>
      <c r="X71" s="5"/>
      <c r="Y71" s="6"/>
      <c r="Z71" s="7"/>
      <c r="AA71" s="5"/>
      <c r="AB71" s="5"/>
      <c r="AC71" s="6"/>
      <c r="AD71" s="7"/>
      <c r="AE71" s="5"/>
      <c r="AF71" s="5"/>
      <c r="AG71" s="6"/>
      <c r="AH71" s="7"/>
      <c r="AI71" s="5"/>
      <c r="AJ71" s="5"/>
      <c r="AK71" s="6"/>
      <c r="AL71" s="7"/>
      <c r="AM71" s="5"/>
      <c r="AN71" s="5"/>
      <c r="AO71" s="6"/>
      <c r="AP71" s="7"/>
      <c r="AQ71" s="5"/>
      <c r="AR71" s="5"/>
      <c r="AS71" s="6"/>
      <c r="AT71" s="7"/>
      <c r="AU71" s="5"/>
      <c r="AV71" s="5"/>
      <c r="AW71" s="6"/>
      <c r="AX71" s="7"/>
      <c r="AY71" s="5"/>
      <c r="AZ71" s="5"/>
      <c r="BA71" s="6"/>
    </row>
    <row r="72" spans="2:53" s="18" customFormat="1" ht="16.5" thickBot="1" x14ac:dyDescent="0.3">
      <c r="B72" s="19"/>
      <c r="C72" s="94"/>
      <c r="D72" s="43"/>
      <c r="E72" s="44">
        <f>SUM(F72:BA72)</f>
        <v>0</v>
      </c>
      <c r="F72" s="7"/>
      <c r="G72" s="5"/>
      <c r="H72" s="5"/>
      <c r="I72" s="6"/>
      <c r="J72" s="7"/>
      <c r="K72" s="5"/>
      <c r="L72" s="5"/>
      <c r="M72" s="6"/>
      <c r="N72" s="7"/>
      <c r="O72" s="5"/>
      <c r="P72" s="5"/>
      <c r="Q72" s="6"/>
      <c r="R72" s="7"/>
      <c r="S72" s="5"/>
      <c r="T72" s="5"/>
      <c r="U72" s="6"/>
      <c r="V72" s="7"/>
      <c r="W72" s="5"/>
      <c r="X72" s="5"/>
      <c r="Y72" s="6"/>
      <c r="Z72" s="7"/>
      <c r="AA72" s="5"/>
      <c r="AB72" s="5"/>
      <c r="AC72" s="6"/>
      <c r="AD72" s="7"/>
      <c r="AE72" s="5"/>
      <c r="AF72" s="5"/>
      <c r="AG72" s="6"/>
      <c r="AH72" s="7"/>
      <c r="AI72" s="5"/>
      <c r="AJ72" s="5"/>
      <c r="AK72" s="6"/>
      <c r="AL72" s="7"/>
      <c r="AM72" s="5"/>
      <c r="AN72" s="5"/>
      <c r="AO72" s="6"/>
      <c r="AP72" s="7"/>
      <c r="AQ72" s="5"/>
      <c r="AR72" s="5"/>
      <c r="AS72" s="6"/>
      <c r="AT72" s="7"/>
      <c r="AU72" s="5"/>
      <c r="AV72" s="5"/>
      <c r="AW72" s="6"/>
      <c r="AX72" s="7"/>
      <c r="AY72" s="5"/>
      <c r="AZ72" s="5"/>
      <c r="BA72" s="6"/>
    </row>
    <row r="73" spans="2:53" s="18" customFormat="1" ht="18.75" thickBot="1" x14ac:dyDescent="0.3">
      <c r="B73" s="19"/>
      <c r="C73" s="45"/>
      <c r="D73" s="46"/>
      <c r="E73" s="47"/>
      <c r="F73" s="7"/>
      <c r="G73" s="5"/>
      <c r="H73" s="5"/>
      <c r="I73" s="6"/>
      <c r="J73" s="7"/>
      <c r="K73" s="5"/>
      <c r="L73" s="5"/>
      <c r="M73" s="6"/>
      <c r="N73" s="7"/>
      <c r="O73" s="5"/>
      <c r="P73" s="5"/>
      <c r="Q73" s="6"/>
      <c r="R73" s="7"/>
      <c r="S73" s="5"/>
      <c r="T73" s="5"/>
      <c r="U73" s="6"/>
      <c r="V73" s="7"/>
      <c r="W73" s="5"/>
      <c r="X73" s="5"/>
      <c r="Y73" s="6"/>
      <c r="Z73" s="7"/>
      <c r="AA73" s="5"/>
      <c r="AB73" s="5"/>
      <c r="AC73" s="6"/>
      <c r="AD73" s="7"/>
      <c r="AE73" s="5"/>
      <c r="AF73" s="5"/>
      <c r="AG73" s="6"/>
      <c r="AH73" s="7"/>
      <c r="AI73" s="5"/>
      <c r="AJ73" s="5"/>
      <c r="AK73" s="6"/>
      <c r="AL73" s="7"/>
      <c r="AM73" s="5"/>
      <c r="AN73" s="5"/>
      <c r="AO73" s="6"/>
      <c r="AP73" s="7"/>
      <c r="AQ73" s="5"/>
      <c r="AR73" s="5"/>
      <c r="AS73" s="6"/>
      <c r="AT73" s="7"/>
      <c r="AU73" s="5"/>
      <c r="AV73" s="5"/>
      <c r="AW73" s="6"/>
      <c r="AX73" s="7"/>
      <c r="AY73" s="5"/>
      <c r="AZ73" s="5"/>
      <c r="BA73" s="6"/>
    </row>
    <row r="74" spans="2:53" s="18" customFormat="1" ht="18.75" thickBot="1" x14ac:dyDescent="0.3">
      <c r="B74" s="36"/>
      <c r="C74" s="48"/>
      <c r="D74" s="49"/>
      <c r="E74" s="50"/>
      <c r="F74" s="12"/>
      <c r="G74" s="13"/>
      <c r="H74" s="13"/>
      <c r="I74" s="14"/>
      <c r="J74" s="12"/>
      <c r="K74" s="13"/>
      <c r="L74" s="13"/>
      <c r="M74" s="14"/>
      <c r="N74" s="12"/>
      <c r="O74" s="13"/>
      <c r="P74" s="13"/>
      <c r="Q74" s="14"/>
      <c r="R74" s="12"/>
      <c r="S74" s="13"/>
      <c r="T74" s="13"/>
      <c r="U74" s="14"/>
      <c r="V74" s="12"/>
      <c r="W74" s="13"/>
      <c r="X74" s="13"/>
      <c r="Y74" s="14"/>
      <c r="Z74" s="12"/>
      <c r="AA74" s="13"/>
      <c r="AB74" s="13"/>
      <c r="AC74" s="14"/>
      <c r="AD74" s="7"/>
      <c r="AE74" s="5"/>
      <c r="AF74" s="5"/>
      <c r="AG74" s="6"/>
      <c r="AH74" s="7"/>
      <c r="AI74" s="5"/>
      <c r="AJ74" s="5"/>
      <c r="AK74" s="6"/>
      <c r="AL74" s="7"/>
      <c r="AM74" s="5"/>
      <c r="AN74" s="5"/>
      <c r="AO74" s="6"/>
      <c r="AP74" s="7"/>
      <c r="AQ74" s="5"/>
      <c r="AR74" s="5"/>
      <c r="AS74" s="6"/>
      <c r="AT74" s="7"/>
      <c r="AU74" s="5"/>
      <c r="AV74" s="5"/>
      <c r="AW74" s="6"/>
      <c r="AX74" s="7"/>
      <c r="AY74" s="5"/>
      <c r="AZ74" s="5"/>
      <c r="BA74" s="6"/>
    </row>
    <row r="75" spans="2:53" s="18" customFormat="1" ht="16.5" thickBot="1" x14ac:dyDescent="0.3">
      <c r="B75" s="19"/>
      <c r="C75" s="93"/>
      <c r="D75" s="41">
        <f>SUM(F75:BA75)</f>
        <v>0</v>
      </c>
      <c r="E75" s="42"/>
      <c r="F75" s="7"/>
      <c r="G75" s="5"/>
      <c r="H75" s="5"/>
      <c r="I75" s="6"/>
      <c r="J75" s="7"/>
      <c r="K75" s="5"/>
      <c r="L75" s="5"/>
      <c r="M75" s="6"/>
      <c r="N75" s="7"/>
      <c r="O75" s="5"/>
      <c r="P75" s="5"/>
      <c r="Q75" s="6"/>
      <c r="R75" s="7"/>
      <c r="S75" s="5"/>
      <c r="T75" s="5"/>
      <c r="U75" s="6"/>
      <c r="V75" s="7"/>
      <c r="W75" s="5"/>
      <c r="X75" s="5"/>
      <c r="Y75" s="6"/>
      <c r="Z75" s="7"/>
      <c r="AA75" s="5"/>
      <c r="AB75" s="5"/>
      <c r="AC75" s="6"/>
      <c r="AD75" s="7"/>
      <c r="AE75" s="5"/>
      <c r="AF75" s="5"/>
      <c r="AG75" s="6"/>
      <c r="AH75" s="88"/>
      <c r="AI75" s="5"/>
      <c r="AJ75" s="5"/>
      <c r="AK75" s="6"/>
      <c r="AL75" s="7"/>
      <c r="AM75" s="5"/>
      <c r="AN75" s="5"/>
      <c r="AO75" s="6"/>
      <c r="AP75" s="7"/>
      <c r="AQ75" s="5"/>
      <c r="AR75" s="5"/>
      <c r="AS75" s="6"/>
      <c r="AT75" s="7"/>
      <c r="AU75" s="5"/>
      <c r="AV75" s="5"/>
      <c r="AW75" s="6"/>
      <c r="AX75" s="7"/>
      <c r="AY75" s="5"/>
      <c r="AZ75" s="5"/>
      <c r="BA75" s="6"/>
    </row>
    <row r="76" spans="2:53" s="18" customFormat="1" ht="16.5" thickBot="1" x14ac:dyDescent="0.3">
      <c r="B76" s="19"/>
      <c r="C76" s="93"/>
      <c r="D76" s="43"/>
      <c r="E76" s="44">
        <f>SUM(F76:BA76)</f>
        <v>0</v>
      </c>
      <c r="F76" s="7"/>
      <c r="G76" s="5"/>
      <c r="H76" s="5"/>
      <c r="I76" s="6"/>
      <c r="J76" s="7"/>
      <c r="K76" s="5"/>
      <c r="L76" s="5"/>
      <c r="M76" s="6"/>
      <c r="N76" s="7"/>
      <c r="O76" s="5"/>
      <c r="P76" s="5"/>
      <c r="Q76" s="6"/>
      <c r="R76" s="7"/>
      <c r="S76" s="5"/>
      <c r="T76" s="5"/>
      <c r="U76" s="6"/>
      <c r="V76" s="7"/>
      <c r="W76" s="5"/>
      <c r="X76" s="5"/>
      <c r="Y76" s="6"/>
      <c r="Z76" s="7"/>
      <c r="AA76" s="5"/>
      <c r="AB76" s="5"/>
      <c r="AC76" s="6"/>
      <c r="AD76" s="7"/>
      <c r="AE76" s="5"/>
      <c r="AF76" s="5"/>
      <c r="AG76" s="6"/>
      <c r="AH76" s="7"/>
      <c r="AI76" s="5"/>
      <c r="AJ76" s="5"/>
      <c r="AK76" s="6"/>
      <c r="AL76" s="7"/>
      <c r="AM76" s="5"/>
      <c r="AN76" s="5"/>
      <c r="AO76" s="6"/>
      <c r="AP76" s="7"/>
      <c r="AQ76" s="5"/>
      <c r="AR76" s="5"/>
      <c r="AS76" s="6"/>
      <c r="AT76" s="7"/>
      <c r="AU76" s="5"/>
      <c r="AV76" s="5"/>
      <c r="AW76" s="6"/>
      <c r="AX76" s="7"/>
      <c r="AY76" s="5"/>
      <c r="AZ76" s="5"/>
      <c r="BA76" s="6"/>
    </row>
    <row r="77" spans="2:53" s="18" customFormat="1" ht="16.5" thickBot="1" x14ac:dyDescent="0.3">
      <c r="B77" s="19"/>
      <c r="C77" s="93"/>
      <c r="D77" s="41">
        <f>SUM(F77:BA77)</f>
        <v>0</v>
      </c>
      <c r="E77" s="42"/>
      <c r="F77" s="7"/>
      <c r="G77" s="5"/>
      <c r="H77" s="5"/>
      <c r="I77" s="6"/>
      <c r="J77" s="7"/>
      <c r="K77" s="5"/>
      <c r="L77" s="5"/>
      <c r="M77" s="6"/>
      <c r="N77" s="7"/>
      <c r="O77" s="5"/>
      <c r="P77" s="5"/>
      <c r="Q77" s="6"/>
      <c r="R77" s="7"/>
      <c r="S77" s="5"/>
      <c r="T77" s="5"/>
      <c r="U77" s="6"/>
      <c r="V77" s="7"/>
      <c r="W77" s="5"/>
      <c r="X77" s="5"/>
      <c r="Y77" s="6"/>
      <c r="Z77" s="7"/>
      <c r="AA77" s="5"/>
      <c r="AB77" s="5"/>
      <c r="AC77" s="6"/>
      <c r="AD77" s="7"/>
      <c r="AE77" s="5"/>
      <c r="AF77" s="5"/>
      <c r="AG77" s="6"/>
      <c r="AH77" s="88"/>
      <c r="AI77" s="89"/>
      <c r="AJ77" s="89"/>
      <c r="AK77" s="6"/>
      <c r="AL77" s="7"/>
      <c r="AM77" s="5"/>
      <c r="AN77" s="5"/>
      <c r="AO77" s="6"/>
      <c r="AP77" s="7"/>
      <c r="AQ77" s="5"/>
      <c r="AR77" s="5"/>
      <c r="AS77" s="6"/>
      <c r="AT77" s="7"/>
      <c r="AU77" s="5"/>
      <c r="AV77" s="5"/>
      <c r="AW77" s="6"/>
      <c r="AX77" s="7"/>
      <c r="AY77" s="5"/>
      <c r="AZ77" s="5"/>
      <c r="BA77" s="6"/>
    </row>
    <row r="78" spans="2:53" s="18" customFormat="1" ht="16.5" thickBot="1" x14ac:dyDescent="0.3">
      <c r="B78" s="19"/>
      <c r="C78" s="93"/>
      <c r="D78" s="43"/>
      <c r="E78" s="44">
        <f>SUM(F78:BA78)</f>
        <v>0</v>
      </c>
      <c r="F78" s="7"/>
      <c r="G78" s="5"/>
      <c r="H78" s="5"/>
      <c r="I78" s="6"/>
      <c r="J78" s="7"/>
      <c r="K78" s="5"/>
      <c r="L78" s="5"/>
      <c r="M78" s="6"/>
      <c r="N78" s="7"/>
      <c r="O78" s="5"/>
      <c r="P78" s="5"/>
      <c r="Q78" s="6"/>
      <c r="R78" s="7"/>
      <c r="S78" s="5"/>
      <c r="T78" s="5"/>
      <c r="U78" s="6"/>
      <c r="V78" s="7"/>
      <c r="W78" s="5"/>
      <c r="X78" s="5"/>
      <c r="Y78" s="6"/>
      <c r="Z78" s="7"/>
      <c r="AA78" s="5"/>
      <c r="AB78" s="5"/>
      <c r="AC78" s="6"/>
      <c r="AD78" s="7"/>
      <c r="AE78" s="5"/>
      <c r="AF78" s="5"/>
      <c r="AG78" s="6"/>
      <c r="AH78" s="7"/>
      <c r="AI78" s="5"/>
      <c r="AJ78" s="5"/>
      <c r="AK78" s="6"/>
      <c r="AL78" s="7"/>
      <c r="AM78" s="5"/>
      <c r="AN78" s="5"/>
      <c r="AO78" s="6"/>
      <c r="AP78" s="7"/>
      <c r="AQ78" s="5"/>
      <c r="AR78" s="5"/>
      <c r="AS78" s="6"/>
      <c r="AT78" s="7"/>
      <c r="AU78" s="5"/>
      <c r="AV78" s="5"/>
      <c r="AW78" s="6"/>
      <c r="AX78" s="7"/>
      <c r="AY78" s="5"/>
      <c r="AZ78" s="5"/>
      <c r="BA78" s="6"/>
    </row>
    <row r="79" spans="2:53" s="18" customFormat="1" ht="16.5" thickBot="1" x14ac:dyDescent="0.3">
      <c r="B79" s="19"/>
      <c r="C79" s="93"/>
      <c r="D79" s="41">
        <f>SUM(F79:BA79)</f>
        <v>0</v>
      </c>
      <c r="E79" s="42"/>
      <c r="F79" s="7"/>
      <c r="G79" s="5"/>
      <c r="H79" s="5"/>
      <c r="I79" s="6"/>
      <c r="J79" s="7"/>
      <c r="K79" s="5"/>
      <c r="L79" s="5"/>
      <c r="M79" s="6"/>
      <c r="N79" s="7"/>
      <c r="O79" s="5"/>
      <c r="P79" s="5"/>
      <c r="Q79" s="6"/>
      <c r="R79" s="7"/>
      <c r="S79" s="5"/>
      <c r="T79" s="5"/>
      <c r="U79" s="6"/>
      <c r="V79" s="7"/>
      <c r="W79" s="5"/>
      <c r="X79" s="5"/>
      <c r="Y79" s="6"/>
      <c r="Z79" s="7"/>
      <c r="AA79" s="5"/>
      <c r="AB79" s="5"/>
      <c r="AC79" s="6"/>
      <c r="AD79" s="7"/>
      <c r="AE79" s="5"/>
      <c r="AF79" s="5"/>
      <c r="AG79" s="6"/>
      <c r="AH79" s="7"/>
      <c r="AI79" s="5"/>
      <c r="AJ79" s="89"/>
      <c r="AK79" s="6"/>
      <c r="AL79" s="7"/>
      <c r="AM79" s="5"/>
      <c r="AN79" s="5"/>
      <c r="AO79" s="6"/>
      <c r="AP79" s="7"/>
      <c r="AQ79" s="5"/>
      <c r="AR79" s="5"/>
      <c r="AS79" s="6"/>
      <c r="AT79" s="7"/>
      <c r="AU79" s="5"/>
      <c r="AV79" s="5"/>
      <c r="AW79" s="6"/>
      <c r="AX79" s="7"/>
      <c r="AY79" s="5"/>
      <c r="AZ79" s="5"/>
      <c r="BA79" s="6"/>
    </row>
    <row r="80" spans="2:53" s="18" customFormat="1" ht="16.5" thickBot="1" x14ac:dyDescent="0.3">
      <c r="B80" s="19"/>
      <c r="C80" s="93"/>
      <c r="D80" s="43"/>
      <c r="E80" s="44">
        <f>SUM(F80:BA80)</f>
        <v>0</v>
      </c>
      <c r="F80" s="7"/>
      <c r="G80" s="5"/>
      <c r="H80" s="5"/>
      <c r="I80" s="6"/>
      <c r="J80" s="7"/>
      <c r="K80" s="5"/>
      <c r="L80" s="5"/>
      <c r="M80" s="6"/>
      <c r="N80" s="7"/>
      <c r="O80" s="5"/>
      <c r="P80" s="5"/>
      <c r="Q80" s="6"/>
      <c r="R80" s="7"/>
      <c r="S80" s="5"/>
      <c r="T80" s="5"/>
      <c r="U80" s="6"/>
      <c r="V80" s="7"/>
      <c r="W80" s="5"/>
      <c r="X80" s="5"/>
      <c r="Y80" s="6"/>
      <c r="Z80" s="7"/>
      <c r="AA80" s="5"/>
      <c r="AB80" s="5"/>
      <c r="AC80" s="6"/>
      <c r="AD80" s="7"/>
      <c r="AE80" s="5"/>
      <c r="AF80" s="5"/>
      <c r="AG80" s="6"/>
      <c r="AH80" s="7"/>
      <c r="AI80" s="5"/>
      <c r="AJ80" s="5"/>
      <c r="AK80" s="6"/>
      <c r="AL80" s="7"/>
      <c r="AM80" s="5"/>
      <c r="AN80" s="5"/>
      <c r="AO80" s="6"/>
      <c r="AP80" s="7"/>
      <c r="AQ80" s="5"/>
      <c r="AR80" s="5"/>
      <c r="AS80" s="6"/>
      <c r="AT80" s="7"/>
      <c r="AU80" s="5"/>
      <c r="AV80" s="5"/>
      <c r="AW80" s="6"/>
      <c r="AX80" s="7"/>
      <c r="AY80" s="5"/>
      <c r="AZ80" s="5"/>
      <c r="BA80" s="6"/>
    </row>
    <row r="81" spans="2:53" s="18" customFormat="1" ht="16.5" thickBot="1" x14ac:dyDescent="0.3">
      <c r="B81" s="19"/>
      <c r="C81" s="93"/>
      <c r="D81" s="41">
        <f>SUM(F81:BA81)</f>
        <v>0</v>
      </c>
      <c r="E81" s="42"/>
      <c r="F81" s="7"/>
      <c r="G81" s="5"/>
      <c r="H81" s="5"/>
      <c r="I81" s="6"/>
      <c r="J81" s="7"/>
      <c r="K81" s="5"/>
      <c r="L81" s="5"/>
      <c r="M81" s="6"/>
      <c r="N81" s="7"/>
      <c r="O81" s="5"/>
      <c r="P81" s="5"/>
      <c r="Q81" s="6"/>
      <c r="R81" s="7"/>
      <c r="S81" s="5"/>
      <c r="T81" s="5"/>
      <c r="U81" s="6"/>
      <c r="V81" s="7"/>
      <c r="W81" s="5"/>
      <c r="X81" s="5"/>
      <c r="Y81" s="6"/>
      <c r="Z81" s="7"/>
      <c r="AA81" s="5"/>
      <c r="AB81" s="5"/>
      <c r="AC81" s="6"/>
      <c r="AD81" s="7"/>
      <c r="AE81" s="5"/>
      <c r="AF81" s="5"/>
      <c r="AG81" s="6"/>
      <c r="AH81" s="7"/>
      <c r="AI81" s="5"/>
      <c r="AJ81" s="5"/>
      <c r="AK81" s="90"/>
      <c r="AL81" s="7"/>
      <c r="AM81" s="5"/>
      <c r="AN81" s="5"/>
      <c r="AO81" s="6"/>
      <c r="AP81" s="7"/>
      <c r="AQ81" s="5"/>
      <c r="AR81" s="5"/>
      <c r="AS81" s="6"/>
      <c r="AT81" s="7"/>
      <c r="AU81" s="5"/>
      <c r="AV81" s="5"/>
      <c r="AW81" s="6"/>
      <c r="AX81" s="7"/>
      <c r="AY81" s="5"/>
      <c r="AZ81" s="5"/>
      <c r="BA81" s="6"/>
    </row>
    <row r="82" spans="2:53" s="18" customFormat="1" ht="16.5" thickBot="1" x14ac:dyDescent="0.3">
      <c r="B82" s="19"/>
      <c r="C82" s="93"/>
      <c r="D82" s="43"/>
      <c r="E82" s="44">
        <f>SUM(F82:BA82)</f>
        <v>0</v>
      </c>
      <c r="F82" s="7"/>
      <c r="G82" s="5"/>
      <c r="H82" s="5"/>
      <c r="I82" s="6"/>
      <c r="J82" s="7"/>
      <c r="K82" s="5"/>
      <c r="L82" s="5"/>
      <c r="M82" s="6"/>
      <c r="N82" s="7"/>
      <c r="O82" s="5"/>
      <c r="P82" s="5"/>
      <c r="Q82" s="6"/>
      <c r="R82" s="7"/>
      <c r="S82" s="5"/>
      <c r="T82" s="5"/>
      <c r="U82" s="6"/>
      <c r="V82" s="7"/>
      <c r="W82" s="5"/>
      <c r="X82" s="5"/>
      <c r="Y82" s="6"/>
      <c r="Z82" s="7"/>
      <c r="AA82" s="5"/>
      <c r="AB82" s="5"/>
      <c r="AC82" s="6"/>
      <c r="AD82" s="7"/>
      <c r="AE82" s="5"/>
      <c r="AF82" s="5"/>
      <c r="AG82" s="6"/>
      <c r="AH82" s="7"/>
      <c r="AI82" s="5"/>
      <c r="AJ82" s="5"/>
      <c r="AK82" s="6"/>
      <c r="AL82" s="7"/>
      <c r="AM82" s="5"/>
      <c r="AN82" s="5"/>
      <c r="AO82" s="6"/>
      <c r="AP82" s="7"/>
      <c r="AQ82" s="5"/>
      <c r="AR82" s="5"/>
      <c r="AS82" s="6"/>
      <c r="AT82" s="7"/>
      <c r="AU82" s="5"/>
      <c r="AV82" s="5"/>
      <c r="AW82" s="6"/>
      <c r="AX82" s="7"/>
      <c r="AY82" s="5"/>
      <c r="AZ82" s="5"/>
      <c r="BA82" s="6"/>
    </row>
    <row r="83" spans="2:53" s="18" customFormat="1" ht="18.75" thickBot="1" x14ac:dyDescent="0.3">
      <c r="B83" s="19"/>
      <c r="C83" s="52"/>
      <c r="D83" s="46"/>
      <c r="E83" s="47"/>
      <c r="F83" s="7"/>
      <c r="G83" s="5"/>
      <c r="H83" s="5"/>
      <c r="I83" s="6"/>
      <c r="J83" s="7"/>
      <c r="K83" s="5"/>
      <c r="L83" s="5"/>
      <c r="M83" s="6"/>
      <c r="N83" s="7"/>
      <c r="O83" s="5"/>
      <c r="P83" s="5"/>
      <c r="Q83" s="6"/>
      <c r="R83" s="7"/>
      <c r="S83" s="5"/>
      <c r="T83" s="5"/>
      <c r="U83" s="6"/>
      <c r="V83" s="7"/>
      <c r="W83" s="5"/>
      <c r="X83" s="5"/>
      <c r="Y83" s="6"/>
      <c r="Z83" s="7"/>
      <c r="AA83" s="5"/>
      <c r="AB83" s="5"/>
      <c r="AC83" s="6"/>
      <c r="AD83" s="7"/>
      <c r="AE83" s="5"/>
      <c r="AF83" s="5"/>
      <c r="AG83" s="6"/>
      <c r="AH83" s="7"/>
      <c r="AI83" s="5"/>
      <c r="AJ83" s="5"/>
      <c r="AK83" s="6"/>
      <c r="AL83" s="7"/>
      <c r="AM83" s="5"/>
      <c r="AN83" s="5"/>
      <c r="AO83" s="6"/>
      <c r="AP83" s="7"/>
      <c r="AQ83" s="5"/>
      <c r="AR83" s="5"/>
      <c r="AS83" s="6"/>
      <c r="AT83" s="7"/>
      <c r="AU83" s="5"/>
      <c r="AV83" s="5"/>
      <c r="AW83" s="6"/>
      <c r="AX83" s="7"/>
      <c r="AY83" s="5"/>
      <c r="AZ83" s="5"/>
      <c r="BA83" s="6"/>
    </row>
    <row r="84" spans="2:53" s="18" customFormat="1" ht="18.75" thickBot="1" x14ac:dyDescent="0.3">
      <c r="B84" s="36"/>
      <c r="C84" s="48"/>
      <c r="D84" s="49"/>
      <c r="E84" s="50"/>
      <c r="F84" s="7"/>
      <c r="G84" s="5"/>
      <c r="H84" s="5"/>
      <c r="I84" s="6"/>
      <c r="J84" s="7"/>
      <c r="K84" s="5"/>
      <c r="L84" s="5"/>
      <c r="M84" s="6"/>
      <c r="N84" s="7"/>
      <c r="O84" s="5"/>
      <c r="P84" s="5"/>
      <c r="Q84" s="6"/>
      <c r="R84" s="7"/>
      <c r="S84" s="5"/>
      <c r="T84" s="5"/>
      <c r="U84" s="6"/>
      <c r="V84" s="7"/>
      <c r="W84" s="5"/>
      <c r="X84" s="5"/>
      <c r="Y84" s="6"/>
      <c r="Z84" s="7"/>
      <c r="AA84" s="5"/>
      <c r="AB84" s="5"/>
      <c r="AC84" s="6"/>
      <c r="AD84" s="7"/>
      <c r="AE84" s="5"/>
      <c r="AF84" s="5"/>
      <c r="AG84" s="6"/>
      <c r="AH84" s="7"/>
      <c r="AI84" s="5"/>
      <c r="AJ84" s="5"/>
      <c r="AK84" s="6"/>
      <c r="AL84" s="7"/>
      <c r="AM84" s="5"/>
      <c r="AN84" s="5"/>
      <c r="AO84" s="6"/>
      <c r="AP84" s="7"/>
      <c r="AQ84" s="5"/>
      <c r="AR84" s="5"/>
      <c r="AS84" s="6"/>
      <c r="AT84" s="7"/>
      <c r="AU84" s="5"/>
      <c r="AV84" s="5"/>
      <c r="AW84" s="6"/>
      <c r="AX84" s="7"/>
      <c r="AY84" s="5"/>
      <c r="AZ84" s="5"/>
      <c r="BA84" s="6"/>
    </row>
    <row r="85" spans="2:53" s="18" customFormat="1" ht="16.5" thickBot="1" x14ac:dyDescent="0.3">
      <c r="B85" s="19"/>
      <c r="C85" s="93"/>
      <c r="D85" s="41">
        <f>SUM(F85:BA85)</f>
        <v>0</v>
      </c>
      <c r="E85" s="42"/>
      <c r="F85" s="7"/>
      <c r="G85" s="5"/>
      <c r="H85" s="5"/>
      <c r="I85" s="6"/>
      <c r="J85" s="7"/>
      <c r="K85" s="5"/>
      <c r="L85" s="5"/>
      <c r="M85" s="6"/>
      <c r="N85" s="7"/>
      <c r="O85" s="5"/>
      <c r="P85" s="5"/>
      <c r="Q85" s="6"/>
      <c r="R85" s="7"/>
      <c r="S85" s="5"/>
      <c r="T85" s="5"/>
      <c r="U85" s="6"/>
      <c r="V85" s="7"/>
      <c r="W85" s="5"/>
      <c r="X85" s="5"/>
      <c r="Y85" s="6"/>
      <c r="Z85" s="7"/>
      <c r="AA85" s="5"/>
      <c r="AB85" s="5"/>
      <c r="AC85" s="6"/>
      <c r="AD85" s="7"/>
      <c r="AE85" s="5"/>
      <c r="AF85" s="5"/>
      <c r="AG85" s="6"/>
      <c r="AH85" s="7"/>
      <c r="AI85" s="5"/>
      <c r="AJ85" s="5"/>
      <c r="AK85" s="6"/>
      <c r="AL85" s="7"/>
      <c r="AM85" s="5"/>
      <c r="AN85" s="5"/>
      <c r="AO85" s="6"/>
      <c r="AP85" s="7"/>
      <c r="AQ85" s="5"/>
      <c r="AR85" s="5"/>
      <c r="AS85" s="6"/>
      <c r="AT85" s="7"/>
      <c r="AU85" s="5"/>
      <c r="AV85" s="5"/>
      <c r="AW85" s="6"/>
      <c r="AX85" s="7"/>
      <c r="AY85" s="5"/>
      <c r="AZ85" s="5"/>
      <c r="BA85" s="6"/>
    </row>
    <row r="86" spans="2:53" s="18" customFormat="1" ht="16.5" thickBot="1" x14ac:dyDescent="0.3">
      <c r="B86" s="19"/>
      <c r="C86" s="93"/>
      <c r="D86" s="43"/>
      <c r="E86" s="44">
        <f>SUM(F86:BA86)</f>
        <v>0</v>
      </c>
      <c r="F86" s="7"/>
      <c r="G86" s="5"/>
      <c r="H86" s="5"/>
      <c r="I86" s="6"/>
      <c r="J86" s="7"/>
      <c r="K86" s="5"/>
      <c r="L86" s="5"/>
      <c r="M86" s="6"/>
      <c r="N86" s="7"/>
      <c r="O86" s="5"/>
      <c r="P86" s="5"/>
      <c r="Q86" s="6"/>
      <c r="R86" s="7"/>
      <c r="S86" s="5"/>
      <c r="T86" s="5"/>
      <c r="U86" s="6"/>
      <c r="V86" s="7"/>
      <c r="W86" s="5"/>
      <c r="X86" s="5"/>
      <c r="Y86" s="6"/>
      <c r="Z86" s="7"/>
      <c r="AA86" s="5"/>
      <c r="AB86" s="5"/>
      <c r="AC86" s="6"/>
      <c r="AD86" s="7"/>
      <c r="AE86" s="5"/>
      <c r="AF86" s="5"/>
      <c r="AG86" s="6"/>
      <c r="AH86" s="7"/>
      <c r="AI86" s="5"/>
      <c r="AJ86" s="5"/>
      <c r="AK86" s="6"/>
      <c r="AL86" s="7"/>
      <c r="AM86" s="5"/>
      <c r="AN86" s="5"/>
      <c r="AO86" s="6"/>
      <c r="AP86" s="7"/>
      <c r="AQ86" s="5"/>
      <c r="AR86" s="5"/>
      <c r="AS86" s="6"/>
      <c r="AT86" s="7"/>
      <c r="AU86" s="5"/>
      <c r="AV86" s="5"/>
      <c r="AW86" s="6"/>
      <c r="AX86" s="7"/>
      <c r="AY86" s="5"/>
      <c r="AZ86" s="5"/>
      <c r="BA86" s="6"/>
    </row>
    <row r="87" spans="2:53" s="18" customFormat="1" ht="16.5" thickBot="1" x14ac:dyDescent="0.3">
      <c r="B87" s="19"/>
      <c r="C87" s="93"/>
      <c r="D87" s="41">
        <f>SUM(F87:BA87)</f>
        <v>0</v>
      </c>
      <c r="E87" s="42"/>
      <c r="F87" s="7"/>
      <c r="G87" s="5"/>
      <c r="H87" s="5"/>
      <c r="I87" s="6"/>
      <c r="J87" s="7"/>
      <c r="K87" s="5"/>
      <c r="L87" s="5"/>
      <c r="M87" s="6"/>
      <c r="N87" s="7"/>
      <c r="O87" s="5"/>
      <c r="P87" s="5"/>
      <c r="Q87" s="6"/>
      <c r="R87" s="7"/>
      <c r="S87" s="5"/>
      <c r="T87" s="5"/>
      <c r="U87" s="6"/>
      <c r="V87" s="7"/>
      <c r="W87" s="5"/>
      <c r="X87" s="5"/>
      <c r="Y87" s="6"/>
      <c r="Z87" s="7"/>
      <c r="AA87" s="5"/>
      <c r="AB87" s="5"/>
      <c r="AC87" s="6"/>
      <c r="AD87" s="7"/>
      <c r="AE87" s="5"/>
      <c r="AF87" s="5"/>
      <c r="AG87" s="6"/>
      <c r="AH87" s="7"/>
      <c r="AI87" s="5"/>
      <c r="AJ87" s="5"/>
      <c r="AK87" s="6"/>
      <c r="AL87" s="7"/>
      <c r="AM87" s="5"/>
      <c r="AN87" s="5"/>
      <c r="AO87" s="6"/>
      <c r="AP87" s="7"/>
      <c r="AQ87" s="5"/>
      <c r="AR87" s="5"/>
      <c r="AS87" s="6"/>
      <c r="AT87" s="7"/>
      <c r="AU87" s="5"/>
      <c r="AV87" s="5"/>
      <c r="AW87" s="6"/>
      <c r="AX87" s="7"/>
      <c r="AY87" s="5"/>
      <c r="AZ87" s="5"/>
      <c r="BA87" s="6"/>
    </row>
    <row r="88" spans="2:53" s="18" customFormat="1" ht="16.5" thickBot="1" x14ac:dyDescent="0.3">
      <c r="B88" s="19"/>
      <c r="C88" s="93"/>
      <c r="D88" s="43"/>
      <c r="E88" s="44">
        <f>SUM(F88:BA88)</f>
        <v>0</v>
      </c>
      <c r="F88" s="7"/>
      <c r="G88" s="5"/>
      <c r="H88" s="5"/>
      <c r="I88" s="6"/>
      <c r="J88" s="7"/>
      <c r="K88" s="5"/>
      <c r="L88" s="5"/>
      <c r="M88" s="6"/>
      <c r="N88" s="7"/>
      <c r="O88" s="5"/>
      <c r="P88" s="5"/>
      <c r="Q88" s="6"/>
      <c r="R88" s="7"/>
      <c r="S88" s="5"/>
      <c r="T88" s="5"/>
      <c r="U88" s="6"/>
      <c r="V88" s="7"/>
      <c r="W88" s="5"/>
      <c r="X88" s="5"/>
      <c r="Y88" s="6"/>
      <c r="Z88" s="7"/>
      <c r="AA88" s="5"/>
      <c r="AB88" s="5"/>
      <c r="AC88" s="6"/>
      <c r="AD88" s="7"/>
      <c r="AE88" s="5"/>
      <c r="AF88" s="5"/>
      <c r="AG88" s="6"/>
      <c r="AH88" s="7"/>
      <c r="AI88" s="5"/>
      <c r="AJ88" s="5"/>
      <c r="AK88" s="6"/>
      <c r="AL88" s="7"/>
      <c r="AM88" s="5"/>
      <c r="AN88" s="5"/>
      <c r="AO88" s="6"/>
      <c r="AP88" s="7"/>
      <c r="AQ88" s="5"/>
      <c r="AR88" s="5"/>
      <c r="AS88" s="6"/>
      <c r="AT88" s="7"/>
      <c r="AU88" s="5"/>
      <c r="AV88" s="5"/>
      <c r="AW88" s="6"/>
      <c r="AX88" s="7"/>
      <c r="AY88" s="5"/>
      <c r="AZ88" s="5"/>
      <c r="BA88" s="6"/>
    </row>
    <row r="89" spans="2:53" s="18" customFormat="1" ht="16.5" thickBot="1" x14ac:dyDescent="0.3">
      <c r="B89" s="19"/>
      <c r="C89" s="93"/>
      <c r="D89" s="41">
        <f>SUM(F89:BA89)</f>
        <v>0</v>
      </c>
      <c r="E89" s="42"/>
      <c r="F89" s="7"/>
      <c r="G89" s="5"/>
      <c r="H89" s="5"/>
      <c r="I89" s="6"/>
      <c r="J89" s="7"/>
      <c r="K89" s="5"/>
      <c r="L89" s="5"/>
      <c r="M89" s="6"/>
      <c r="N89" s="7"/>
      <c r="O89" s="5"/>
      <c r="P89" s="5"/>
      <c r="Q89" s="6"/>
      <c r="R89" s="7"/>
      <c r="S89" s="5"/>
      <c r="T89" s="5"/>
      <c r="U89" s="6"/>
      <c r="V89" s="7"/>
      <c r="W89" s="5"/>
      <c r="X89" s="5"/>
      <c r="Y89" s="6"/>
      <c r="Z89" s="7"/>
      <c r="AA89" s="5"/>
      <c r="AB89" s="5"/>
      <c r="AC89" s="6"/>
      <c r="AD89" s="7"/>
      <c r="AE89" s="5"/>
      <c r="AF89" s="5"/>
      <c r="AG89" s="6"/>
      <c r="AH89" s="7"/>
      <c r="AI89" s="5"/>
      <c r="AJ89" s="5"/>
      <c r="AK89" s="6"/>
      <c r="AL89" s="7"/>
      <c r="AM89" s="5"/>
      <c r="AN89" s="5"/>
      <c r="AO89" s="6"/>
      <c r="AP89" s="7"/>
      <c r="AQ89" s="5"/>
      <c r="AR89" s="5"/>
      <c r="AS89" s="6"/>
      <c r="AT89" s="7"/>
      <c r="AU89" s="5"/>
      <c r="AV89" s="5"/>
      <c r="AW89" s="6"/>
      <c r="AX89" s="7"/>
      <c r="AY89" s="5"/>
      <c r="AZ89" s="5"/>
      <c r="BA89" s="6"/>
    </row>
    <row r="90" spans="2:53" s="18" customFormat="1" ht="16.5" thickBot="1" x14ac:dyDescent="0.3">
      <c r="B90" s="19"/>
      <c r="C90" s="93"/>
      <c r="D90" s="43"/>
      <c r="E90" s="44">
        <f>SUM(F90:BA90)</f>
        <v>0</v>
      </c>
      <c r="F90" s="7"/>
      <c r="G90" s="5"/>
      <c r="H90" s="5"/>
      <c r="I90" s="6"/>
      <c r="J90" s="7"/>
      <c r="K90" s="5"/>
      <c r="L90" s="5"/>
      <c r="M90" s="6"/>
      <c r="N90" s="7"/>
      <c r="O90" s="5"/>
      <c r="P90" s="5"/>
      <c r="Q90" s="6"/>
      <c r="R90" s="7"/>
      <c r="S90" s="5"/>
      <c r="T90" s="5"/>
      <c r="U90" s="6"/>
      <c r="V90" s="7"/>
      <c r="W90" s="5"/>
      <c r="X90" s="5"/>
      <c r="Y90" s="6"/>
      <c r="Z90" s="7"/>
      <c r="AA90" s="5"/>
      <c r="AB90" s="5"/>
      <c r="AC90" s="6"/>
      <c r="AD90" s="7"/>
      <c r="AE90" s="5"/>
      <c r="AF90" s="5"/>
      <c r="AG90" s="6"/>
      <c r="AH90" s="7"/>
      <c r="AI90" s="5"/>
      <c r="AJ90" s="5"/>
      <c r="AK90" s="6"/>
      <c r="AL90" s="7"/>
      <c r="AM90" s="5"/>
      <c r="AN90" s="5"/>
      <c r="AO90" s="6"/>
      <c r="AP90" s="7"/>
      <c r="AQ90" s="5"/>
      <c r="AR90" s="5"/>
      <c r="AS90" s="6"/>
      <c r="AT90" s="7"/>
      <c r="AU90" s="5"/>
      <c r="AV90" s="5"/>
      <c r="AW90" s="6"/>
      <c r="AX90" s="7"/>
      <c r="AY90" s="7"/>
      <c r="AZ90" s="5"/>
      <c r="BA90" s="6"/>
    </row>
    <row r="91" spans="2:53" s="18" customFormat="1" ht="16.5" thickBot="1" x14ac:dyDescent="0.3">
      <c r="B91" s="19"/>
      <c r="C91" s="93"/>
      <c r="D91" s="41">
        <f>SUM(F91:BA91)</f>
        <v>0</v>
      </c>
      <c r="E91" s="42"/>
      <c r="F91" s="7"/>
      <c r="G91" s="5"/>
      <c r="H91" s="5"/>
      <c r="I91" s="6"/>
      <c r="J91" s="7"/>
      <c r="K91" s="5"/>
      <c r="L91" s="5"/>
      <c r="M91" s="6"/>
      <c r="N91" s="7"/>
      <c r="O91" s="5"/>
      <c r="P91" s="5"/>
      <c r="Q91" s="6"/>
      <c r="R91" s="7"/>
      <c r="S91" s="5"/>
      <c r="T91" s="5"/>
      <c r="U91" s="6"/>
      <c r="V91" s="7"/>
      <c r="W91" s="5"/>
      <c r="X91" s="5"/>
      <c r="Y91" s="6"/>
      <c r="Z91" s="7"/>
      <c r="AA91" s="5"/>
      <c r="AB91" s="5"/>
      <c r="AC91" s="6"/>
      <c r="AD91" s="7"/>
      <c r="AE91" s="5"/>
      <c r="AF91" s="5"/>
      <c r="AG91" s="6"/>
      <c r="AH91" s="7"/>
      <c r="AI91" s="5"/>
      <c r="AJ91" s="5"/>
      <c r="AK91" s="6"/>
      <c r="AL91" s="7"/>
      <c r="AM91" s="5"/>
      <c r="AN91" s="5"/>
      <c r="AO91" s="6"/>
      <c r="AP91" s="7"/>
      <c r="AQ91" s="5"/>
      <c r="AR91" s="5"/>
      <c r="AS91" s="6"/>
      <c r="AT91" s="7"/>
      <c r="AU91" s="5"/>
      <c r="AV91" s="5"/>
      <c r="AW91" s="6"/>
      <c r="AX91" s="7"/>
      <c r="AY91" s="5"/>
      <c r="AZ91" s="5"/>
      <c r="BA91" s="6"/>
    </row>
    <row r="92" spans="2:53" s="18" customFormat="1" ht="16.5" thickBot="1" x14ac:dyDescent="0.3">
      <c r="B92" s="19"/>
      <c r="C92" s="93"/>
      <c r="D92" s="43"/>
      <c r="E92" s="44">
        <f>SUM(F92:BA92)</f>
        <v>0</v>
      </c>
      <c r="F92" s="7"/>
      <c r="G92" s="5"/>
      <c r="H92" s="5"/>
      <c r="I92" s="6"/>
      <c r="J92" s="7"/>
      <c r="K92" s="5"/>
      <c r="L92" s="5"/>
      <c r="M92" s="6"/>
      <c r="N92" s="7"/>
      <c r="O92" s="5"/>
      <c r="P92" s="5"/>
      <c r="Q92" s="6"/>
      <c r="R92" s="7"/>
      <c r="S92" s="5"/>
      <c r="T92" s="5"/>
      <c r="U92" s="6"/>
      <c r="V92" s="7"/>
      <c r="W92" s="5"/>
      <c r="X92" s="5"/>
      <c r="Y92" s="6"/>
      <c r="Z92" s="7"/>
      <c r="AA92" s="5"/>
      <c r="AB92" s="5"/>
      <c r="AC92" s="6"/>
      <c r="AD92" s="7"/>
      <c r="AE92" s="5"/>
      <c r="AF92" s="5"/>
      <c r="AG92" s="6"/>
      <c r="AH92" s="7"/>
      <c r="AI92" s="5"/>
      <c r="AJ92" s="5"/>
      <c r="AK92" s="6"/>
      <c r="AL92" s="7"/>
      <c r="AM92" s="5"/>
      <c r="AN92" s="5"/>
      <c r="AO92" s="6"/>
      <c r="AP92" s="7"/>
      <c r="AQ92" s="5"/>
      <c r="AR92" s="5"/>
      <c r="AS92" s="6"/>
      <c r="AT92" s="7"/>
      <c r="AU92" s="5"/>
      <c r="AV92" s="5"/>
      <c r="AW92" s="6"/>
      <c r="AX92" s="7"/>
      <c r="AY92" s="5"/>
      <c r="AZ92" s="5"/>
      <c r="BA92" s="6"/>
    </row>
    <row r="93" spans="2:53" s="18" customFormat="1" ht="18.75" thickBot="1" x14ac:dyDescent="0.3">
      <c r="B93" s="19"/>
      <c r="C93" s="52"/>
      <c r="D93" s="46"/>
      <c r="E93" s="47"/>
      <c r="F93" s="7"/>
      <c r="G93" s="5"/>
      <c r="H93" s="5"/>
      <c r="I93" s="6"/>
      <c r="J93" s="7"/>
      <c r="K93" s="5"/>
      <c r="L93" s="5"/>
      <c r="M93" s="6"/>
      <c r="N93" s="7"/>
      <c r="O93" s="5"/>
      <c r="P93" s="5"/>
      <c r="Q93" s="6"/>
      <c r="R93" s="7"/>
      <c r="S93" s="5"/>
      <c r="T93" s="5"/>
      <c r="U93" s="6"/>
      <c r="V93" s="7"/>
      <c r="W93" s="5"/>
      <c r="X93" s="5"/>
      <c r="Y93" s="6"/>
      <c r="Z93" s="7"/>
      <c r="AA93" s="5"/>
      <c r="AB93" s="5"/>
      <c r="AC93" s="6"/>
      <c r="AD93" s="7"/>
      <c r="AE93" s="5"/>
      <c r="AF93" s="5"/>
      <c r="AG93" s="6"/>
      <c r="AH93" s="7"/>
      <c r="AI93" s="5"/>
      <c r="AJ93" s="5"/>
      <c r="AK93" s="6"/>
      <c r="AL93" s="7"/>
      <c r="AM93" s="5"/>
      <c r="AN93" s="5"/>
      <c r="AO93" s="6"/>
      <c r="AP93" s="7"/>
      <c r="AQ93" s="5"/>
      <c r="AR93" s="5"/>
      <c r="AS93" s="6"/>
      <c r="AT93" s="7"/>
      <c r="AU93" s="5"/>
      <c r="AV93" s="5"/>
      <c r="AW93" s="6"/>
      <c r="AX93" s="7"/>
      <c r="AY93" s="5"/>
      <c r="AZ93" s="5"/>
      <c r="BA93" s="6"/>
    </row>
    <row r="94" spans="2:53" s="18" customFormat="1" ht="18.75" thickBot="1" x14ac:dyDescent="0.3">
      <c r="B94" s="36"/>
      <c r="C94" s="48"/>
      <c r="D94" s="49"/>
      <c r="E94" s="50"/>
      <c r="F94" s="7"/>
      <c r="G94" s="5"/>
      <c r="H94" s="5"/>
      <c r="I94" s="6"/>
      <c r="J94" s="7"/>
      <c r="K94" s="5"/>
      <c r="L94" s="5"/>
      <c r="M94" s="6"/>
      <c r="N94" s="7"/>
      <c r="O94" s="5"/>
      <c r="P94" s="5"/>
      <c r="Q94" s="6"/>
      <c r="R94" s="7"/>
      <c r="S94" s="5"/>
      <c r="T94" s="5"/>
      <c r="U94" s="6"/>
      <c r="V94" s="7"/>
      <c r="W94" s="5"/>
      <c r="X94" s="5"/>
      <c r="Y94" s="6"/>
      <c r="Z94" s="7"/>
      <c r="AA94" s="5"/>
      <c r="AB94" s="5"/>
      <c r="AC94" s="6"/>
      <c r="AD94" s="7"/>
      <c r="AE94" s="5"/>
      <c r="AF94" s="5"/>
      <c r="AG94" s="6"/>
      <c r="AH94" s="7"/>
      <c r="AI94" s="5"/>
      <c r="AJ94" s="5"/>
      <c r="AK94" s="6"/>
      <c r="AL94" s="7"/>
      <c r="AM94" s="5"/>
      <c r="AN94" s="5"/>
      <c r="AO94" s="6"/>
      <c r="AP94" s="7"/>
      <c r="AQ94" s="5"/>
      <c r="AR94" s="5"/>
      <c r="AS94" s="6"/>
      <c r="AT94" s="7"/>
      <c r="AU94" s="5"/>
      <c r="AV94" s="5"/>
      <c r="AW94" s="6"/>
      <c r="AX94" s="7"/>
      <c r="AY94" s="5"/>
      <c r="AZ94" s="5"/>
      <c r="BA94" s="6"/>
    </row>
    <row r="95" spans="2:53" s="18" customFormat="1" ht="16.5" thickBot="1" x14ac:dyDescent="0.3">
      <c r="B95" s="19"/>
      <c r="C95" s="93"/>
      <c r="D95" s="41">
        <f>SUM(F95:BA95)</f>
        <v>0</v>
      </c>
      <c r="E95" s="42"/>
      <c r="F95" s="7"/>
      <c r="G95" s="5"/>
      <c r="H95" s="5"/>
      <c r="I95" s="6"/>
      <c r="J95" s="7"/>
      <c r="K95" s="5"/>
      <c r="L95" s="5"/>
      <c r="M95" s="6"/>
      <c r="N95" s="7"/>
      <c r="O95" s="5"/>
      <c r="P95" s="5"/>
      <c r="Q95" s="6"/>
      <c r="R95" s="7"/>
      <c r="S95" s="5"/>
      <c r="T95" s="5"/>
      <c r="U95" s="6"/>
      <c r="V95" s="7"/>
      <c r="W95" s="5"/>
      <c r="X95" s="5"/>
      <c r="Y95" s="6"/>
      <c r="Z95" s="7"/>
      <c r="AA95" s="5"/>
      <c r="AB95" s="5"/>
      <c r="AC95" s="6"/>
      <c r="AD95" s="7"/>
      <c r="AE95" s="5"/>
      <c r="AF95" s="5"/>
      <c r="AG95" s="6"/>
      <c r="AH95" s="7"/>
      <c r="AI95" s="5"/>
      <c r="AJ95" s="5"/>
      <c r="AK95" s="6"/>
      <c r="AL95" s="7"/>
      <c r="AM95" s="5"/>
      <c r="AN95" s="5"/>
      <c r="AO95" s="6"/>
      <c r="AP95" s="7"/>
      <c r="AQ95" s="5"/>
      <c r="AR95" s="5"/>
      <c r="AS95" s="6"/>
      <c r="AT95" s="7"/>
      <c r="AU95" s="5"/>
      <c r="AV95" s="5"/>
      <c r="AW95" s="6"/>
      <c r="AX95" s="7"/>
      <c r="AY95" s="5"/>
      <c r="AZ95" s="5"/>
      <c r="BA95" s="6"/>
    </row>
    <row r="96" spans="2:53" s="18" customFormat="1" ht="16.5" thickBot="1" x14ac:dyDescent="0.3">
      <c r="B96" s="19"/>
      <c r="C96" s="93"/>
      <c r="D96" s="43"/>
      <c r="E96" s="44">
        <f>SUM(F96:BA96)</f>
        <v>0</v>
      </c>
      <c r="F96" s="7"/>
      <c r="G96" s="5"/>
      <c r="H96" s="5"/>
      <c r="I96" s="6"/>
      <c r="J96" s="7"/>
      <c r="K96" s="5"/>
      <c r="L96" s="5"/>
      <c r="M96" s="6"/>
      <c r="N96" s="7"/>
      <c r="O96" s="5"/>
      <c r="P96" s="5"/>
      <c r="Q96" s="6"/>
      <c r="R96" s="7"/>
      <c r="S96" s="5"/>
      <c r="T96" s="5"/>
      <c r="U96" s="6"/>
      <c r="V96" s="7"/>
      <c r="W96" s="5"/>
      <c r="X96" s="5"/>
      <c r="Y96" s="6"/>
      <c r="Z96" s="7"/>
      <c r="AA96" s="5"/>
      <c r="AB96" s="5"/>
      <c r="AC96" s="6"/>
      <c r="AD96" s="7"/>
      <c r="AE96" s="5"/>
      <c r="AF96" s="5"/>
      <c r="AG96" s="6"/>
      <c r="AH96" s="7"/>
      <c r="AI96" s="5"/>
      <c r="AJ96" s="5"/>
      <c r="AK96" s="6"/>
      <c r="AL96" s="7"/>
      <c r="AM96" s="5"/>
      <c r="AN96" s="5"/>
      <c r="AO96" s="6"/>
      <c r="AP96" s="7"/>
      <c r="AQ96" s="5"/>
      <c r="AR96" s="5"/>
      <c r="AS96" s="6"/>
      <c r="AT96" s="7"/>
      <c r="AU96" s="5"/>
      <c r="AV96" s="5"/>
      <c r="AW96" s="6"/>
      <c r="AX96" s="7"/>
      <c r="AY96" s="5"/>
      <c r="AZ96" s="5"/>
      <c r="BA96" s="6"/>
    </row>
    <row r="97" spans="2:74" s="18" customFormat="1" ht="16.5" thickBot="1" x14ac:dyDescent="0.3">
      <c r="B97" s="19"/>
      <c r="C97" s="93"/>
      <c r="D97" s="41">
        <f>SUM(F97:BA97)</f>
        <v>0</v>
      </c>
      <c r="E97" s="42"/>
      <c r="F97" s="7"/>
      <c r="G97" s="5"/>
      <c r="H97" s="5"/>
      <c r="I97" s="6"/>
      <c r="J97" s="7"/>
      <c r="K97" s="5"/>
      <c r="L97" s="5"/>
      <c r="M97" s="6"/>
      <c r="N97" s="7"/>
      <c r="O97" s="5"/>
      <c r="P97" s="5"/>
      <c r="Q97" s="6"/>
      <c r="R97" s="7"/>
      <c r="S97" s="5"/>
      <c r="T97" s="5"/>
      <c r="U97" s="6"/>
      <c r="V97" s="7"/>
      <c r="W97" s="5"/>
      <c r="X97" s="5"/>
      <c r="Y97" s="6"/>
      <c r="Z97" s="7"/>
      <c r="AA97" s="5"/>
      <c r="AB97" s="5"/>
      <c r="AC97" s="6"/>
      <c r="AD97" s="7"/>
      <c r="AE97" s="5"/>
      <c r="AF97" s="5"/>
      <c r="AG97" s="6"/>
      <c r="AH97" s="7"/>
      <c r="AI97" s="5"/>
      <c r="AJ97" s="5"/>
      <c r="AK97" s="6"/>
      <c r="AL97" s="7"/>
      <c r="AM97" s="5"/>
      <c r="AN97" s="5"/>
      <c r="AO97" s="6"/>
      <c r="AP97" s="7"/>
      <c r="AQ97" s="5"/>
      <c r="AR97" s="5"/>
      <c r="AS97" s="6"/>
      <c r="AT97" s="7"/>
      <c r="AU97" s="5"/>
      <c r="AV97" s="5"/>
      <c r="AW97" s="6"/>
      <c r="AX97" s="7"/>
      <c r="AY97" s="5"/>
      <c r="AZ97" s="5"/>
      <c r="BA97" s="6"/>
    </row>
    <row r="98" spans="2:74" s="18" customFormat="1" ht="16.5" thickBot="1" x14ac:dyDescent="0.3">
      <c r="B98" s="19"/>
      <c r="C98" s="93"/>
      <c r="D98" s="43"/>
      <c r="E98" s="44">
        <f>SUM(F98:BA98)</f>
        <v>0</v>
      </c>
      <c r="F98" s="7"/>
      <c r="G98" s="5"/>
      <c r="H98" s="5"/>
      <c r="I98" s="6"/>
      <c r="J98" s="7"/>
      <c r="K98" s="5"/>
      <c r="L98" s="5"/>
      <c r="M98" s="6"/>
      <c r="N98" s="7"/>
      <c r="O98" s="5"/>
      <c r="P98" s="5"/>
      <c r="Q98" s="6"/>
      <c r="R98" s="7"/>
      <c r="S98" s="5"/>
      <c r="T98" s="5"/>
      <c r="U98" s="6"/>
      <c r="V98" s="7"/>
      <c r="W98" s="5"/>
      <c r="X98" s="5"/>
      <c r="Y98" s="6"/>
      <c r="Z98" s="7"/>
      <c r="AA98" s="5"/>
      <c r="AB98" s="5"/>
      <c r="AC98" s="6"/>
      <c r="AD98" s="7"/>
      <c r="AE98" s="5"/>
      <c r="AF98" s="5"/>
      <c r="AG98" s="6"/>
      <c r="AH98" s="7"/>
      <c r="AI98" s="5"/>
      <c r="AJ98" s="5"/>
      <c r="AK98" s="6"/>
      <c r="AL98" s="7"/>
      <c r="AM98" s="5"/>
      <c r="AN98" s="5"/>
      <c r="AO98" s="6"/>
      <c r="AP98" s="7"/>
      <c r="AQ98" s="5"/>
      <c r="AR98" s="5"/>
      <c r="AS98" s="6"/>
      <c r="AT98" s="7"/>
      <c r="AU98" s="5"/>
      <c r="AV98" s="5"/>
      <c r="AW98" s="6"/>
      <c r="AX98" s="7"/>
      <c r="AY98" s="5"/>
      <c r="AZ98" s="5"/>
      <c r="BA98" s="6"/>
    </row>
    <row r="99" spans="2:74" s="18" customFormat="1" ht="18.75" thickBot="1" x14ac:dyDescent="0.3">
      <c r="B99" s="19"/>
      <c r="C99" s="53"/>
      <c r="D99" s="46"/>
      <c r="E99" s="47"/>
      <c r="F99" s="7"/>
      <c r="G99" s="5"/>
      <c r="H99" s="5"/>
      <c r="I99" s="6"/>
      <c r="J99" s="7"/>
      <c r="K99" s="5"/>
      <c r="L99" s="5"/>
      <c r="M99" s="6"/>
      <c r="N99" s="7"/>
      <c r="O99" s="5"/>
      <c r="P99" s="5"/>
      <c r="Q99" s="6"/>
      <c r="R99" s="7"/>
      <c r="S99" s="5"/>
      <c r="T99" s="5"/>
      <c r="U99" s="6"/>
      <c r="V99" s="7"/>
      <c r="W99" s="5"/>
      <c r="X99" s="5"/>
      <c r="Y99" s="6"/>
      <c r="Z99" s="7"/>
      <c r="AA99" s="5"/>
      <c r="AB99" s="5"/>
      <c r="AC99" s="6"/>
      <c r="AD99" s="7"/>
      <c r="AE99" s="5"/>
      <c r="AF99" s="5"/>
      <c r="AG99" s="6"/>
      <c r="AH99" s="7"/>
      <c r="AI99" s="5"/>
      <c r="AJ99" s="5"/>
      <c r="AK99" s="6"/>
      <c r="AL99" s="7"/>
      <c r="AM99" s="5"/>
      <c r="AN99" s="5"/>
      <c r="AO99" s="6"/>
      <c r="AP99" s="7"/>
      <c r="AQ99" s="5"/>
      <c r="AR99" s="5"/>
      <c r="AS99" s="6"/>
      <c r="AT99" s="7"/>
      <c r="AU99" s="5"/>
      <c r="AV99" s="5"/>
      <c r="AW99" s="6"/>
      <c r="AX99" s="7"/>
      <c r="AY99" s="5"/>
      <c r="AZ99" s="5"/>
      <c r="BA99" s="6"/>
    </row>
    <row r="100" spans="2:74" s="18" customFormat="1" ht="18.75" thickBot="1" x14ac:dyDescent="0.3">
      <c r="B100" s="36"/>
      <c r="C100" s="48"/>
      <c r="D100" s="49"/>
      <c r="E100" s="50"/>
      <c r="F100" s="7"/>
      <c r="G100" s="5"/>
      <c r="H100" s="5"/>
      <c r="I100" s="6"/>
      <c r="J100" s="7"/>
      <c r="K100" s="5"/>
      <c r="L100" s="5"/>
      <c r="M100" s="6"/>
      <c r="N100" s="7"/>
      <c r="O100" s="5"/>
      <c r="P100" s="5"/>
      <c r="Q100" s="6"/>
      <c r="R100" s="7"/>
      <c r="S100" s="5"/>
      <c r="T100" s="5"/>
      <c r="U100" s="6"/>
      <c r="V100" s="7"/>
      <c r="W100" s="5"/>
      <c r="X100" s="5"/>
      <c r="Y100" s="6"/>
      <c r="Z100" s="7"/>
      <c r="AA100" s="5"/>
      <c r="AB100" s="5"/>
      <c r="AC100" s="6"/>
      <c r="AD100" s="7"/>
      <c r="AE100" s="5"/>
      <c r="AF100" s="5"/>
      <c r="AG100" s="6"/>
      <c r="AH100" s="7"/>
      <c r="AI100" s="5"/>
      <c r="AJ100" s="5"/>
      <c r="AK100" s="6"/>
      <c r="AL100" s="7"/>
      <c r="AM100" s="5"/>
      <c r="AN100" s="5"/>
      <c r="AO100" s="6"/>
      <c r="AP100" s="7"/>
      <c r="AQ100" s="5"/>
      <c r="AR100" s="5"/>
      <c r="AS100" s="6"/>
      <c r="AT100" s="7"/>
      <c r="AU100" s="5"/>
      <c r="AV100" s="5"/>
      <c r="AW100" s="6"/>
      <c r="AX100" s="7"/>
      <c r="AY100" s="5"/>
      <c r="AZ100" s="5"/>
      <c r="BA100" s="6"/>
    </row>
    <row r="101" spans="2:74" s="18" customFormat="1" ht="16.5" thickBot="1" x14ac:dyDescent="0.3">
      <c r="B101" s="19"/>
      <c r="C101" s="97"/>
      <c r="D101" s="41">
        <f>SUM(F101:BA101)</f>
        <v>0</v>
      </c>
      <c r="E101" s="42"/>
      <c r="F101" s="7"/>
      <c r="G101" s="5"/>
      <c r="H101" s="5"/>
      <c r="I101" s="6"/>
      <c r="J101" s="7"/>
      <c r="K101" s="5"/>
      <c r="L101" s="5"/>
      <c r="M101" s="6"/>
      <c r="N101" s="7"/>
      <c r="O101" s="5"/>
      <c r="P101" s="5"/>
      <c r="Q101" s="6"/>
      <c r="R101" s="7"/>
      <c r="S101" s="5"/>
      <c r="T101" s="5"/>
      <c r="U101" s="6"/>
      <c r="V101" s="7"/>
      <c r="W101" s="5"/>
      <c r="X101" s="5"/>
      <c r="Y101" s="6"/>
      <c r="Z101" s="7"/>
      <c r="AA101" s="5"/>
      <c r="AB101" s="5"/>
      <c r="AC101" s="6"/>
      <c r="AD101" s="7"/>
      <c r="AE101" s="5"/>
      <c r="AF101" s="5"/>
      <c r="AG101" s="6"/>
      <c r="AH101" s="7"/>
      <c r="AI101" s="5"/>
      <c r="AJ101" s="5"/>
      <c r="AK101" s="6"/>
      <c r="AL101" s="7"/>
      <c r="AM101" s="5"/>
      <c r="AN101" s="5"/>
      <c r="AO101" s="6"/>
      <c r="AP101" s="7"/>
      <c r="AQ101" s="5"/>
      <c r="AR101" s="5"/>
      <c r="AS101" s="6"/>
      <c r="AT101" s="7"/>
      <c r="AU101" s="5"/>
      <c r="AV101" s="5"/>
      <c r="AW101" s="6"/>
      <c r="AX101" s="7"/>
      <c r="AY101" s="5"/>
      <c r="AZ101" s="5"/>
      <c r="BA101" s="6"/>
    </row>
    <row r="102" spans="2:74" s="18" customFormat="1" ht="16.5" thickBot="1" x14ac:dyDescent="0.3">
      <c r="B102" s="19"/>
      <c r="C102" s="97"/>
      <c r="D102" s="43"/>
      <c r="E102" s="44">
        <f>SUM(F102:BA102)</f>
        <v>0</v>
      </c>
      <c r="F102" s="7"/>
      <c r="G102" s="5"/>
      <c r="H102" s="5"/>
      <c r="I102" s="6"/>
      <c r="J102" s="7"/>
      <c r="K102" s="5"/>
      <c r="L102" s="5"/>
      <c r="M102" s="6"/>
      <c r="N102" s="7"/>
      <c r="O102" s="5"/>
      <c r="P102" s="5"/>
      <c r="Q102" s="6"/>
      <c r="R102" s="7"/>
      <c r="S102" s="5"/>
      <c r="T102" s="5"/>
      <c r="U102" s="6"/>
      <c r="V102" s="7"/>
      <c r="W102" s="5"/>
      <c r="X102" s="5"/>
      <c r="Y102" s="6"/>
      <c r="Z102" s="7"/>
      <c r="AA102" s="5"/>
      <c r="AB102" s="5"/>
      <c r="AC102" s="6"/>
      <c r="AD102" s="7"/>
      <c r="AE102" s="5"/>
      <c r="AF102" s="5"/>
      <c r="AG102" s="6"/>
      <c r="AH102" s="7"/>
      <c r="AI102" s="5"/>
      <c r="AJ102" s="5"/>
      <c r="AK102" s="6"/>
      <c r="AL102" s="7"/>
      <c r="AM102" s="5"/>
      <c r="AN102" s="5"/>
      <c r="AO102" s="6"/>
      <c r="AP102" s="7"/>
      <c r="AQ102" s="5"/>
      <c r="AR102" s="5"/>
      <c r="AS102" s="6"/>
      <c r="AT102" s="7"/>
      <c r="AU102" s="5"/>
      <c r="AV102" s="5"/>
      <c r="AW102" s="6"/>
      <c r="AX102" s="7"/>
      <c r="AY102" s="5"/>
      <c r="AZ102" s="5"/>
      <c r="BA102" s="6"/>
    </row>
    <row r="103" spans="2:74" s="18" customFormat="1" ht="18.75" thickBot="1" x14ac:dyDescent="0.3">
      <c r="B103" s="19"/>
      <c r="C103" s="54"/>
      <c r="D103" s="46"/>
      <c r="E103" s="47"/>
      <c r="F103" s="7"/>
      <c r="G103" s="5"/>
      <c r="H103" s="5"/>
      <c r="I103" s="6"/>
      <c r="J103" s="7"/>
      <c r="K103" s="5"/>
      <c r="L103" s="5"/>
      <c r="M103" s="6"/>
      <c r="N103" s="7"/>
      <c r="O103" s="5"/>
      <c r="P103" s="5"/>
      <c r="Q103" s="6"/>
      <c r="R103" s="7"/>
      <c r="S103" s="5"/>
      <c r="T103" s="5"/>
      <c r="U103" s="6"/>
      <c r="V103" s="7"/>
      <c r="W103" s="5"/>
      <c r="X103" s="5"/>
      <c r="Y103" s="6"/>
      <c r="Z103" s="7"/>
      <c r="AA103" s="5"/>
      <c r="AB103" s="5"/>
      <c r="AC103" s="6"/>
      <c r="AD103" s="7"/>
      <c r="AE103" s="5"/>
      <c r="AF103" s="5"/>
      <c r="AG103" s="6"/>
      <c r="AH103" s="7"/>
      <c r="AI103" s="5"/>
      <c r="AJ103" s="5"/>
      <c r="AK103" s="6"/>
      <c r="AL103" s="7"/>
      <c r="AM103" s="5"/>
      <c r="AN103" s="5"/>
      <c r="AO103" s="6"/>
      <c r="AP103" s="7"/>
      <c r="AQ103" s="5"/>
      <c r="AR103" s="5"/>
      <c r="AS103" s="6"/>
      <c r="AT103" s="7"/>
      <c r="AU103" s="5"/>
      <c r="AV103" s="5"/>
      <c r="AW103" s="6"/>
      <c r="AX103" s="7"/>
      <c r="AY103" s="5"/>
      <c r="AZ103" s="5"/>
      <c r="BA103" s="6"/>
    </row>
    <row r="104" spans="2:74" s="18" customFormat="1" ht="19.5" thickTop="1" thickBot="1" x14ac:dyDescent="0.3">
      <c r="B104" s="36"/>
      <c r="C104" s="48"/>
      <c r="D104" s="49"/>
      <c r="E104" s="50"/>
      <c r="F104" s="7"/>
      <c r="G104" s="5"/>
      <c r="H104" s="5"/>
      <c r="I104" s="6"/>
      <c r="J104" s="7"/>
      <c r="K104" s="5"/>
      <c r="L104" s="5"/>
      <c r="M104" s="6"/>
      <c r="N104" s="7"/>
      <c r="O104" s="5"/>
      <c r="P104" s="5"/>
      <c r="Q104" s="6"/>
      <c r="R104" s="7"/>
      <c r="S104" s="5"/>
      <c r="T104" s="5"/>
      <c r="U104" s="6"/>
      <c r="V104" s="7"/>
      <c r="W104" s="5"/>
      <c r="X104" s="5"/>
      <c r="Y104" s="6"/>
      <c r="Z104" s="7"/>
      <c r="AA104" s="5"/>
      <c r="AB104" s="5"/>
      <c r="AC104" s="6"/>
      <c r="AD104" s="7"/>
      <c r="AE104" s="5"/>
      <c r="AF104" s="5"/>
      <c r="AG104" s="6"/>
      <c r="AH104" s="7"/>
      <c r="AI104" s="5"/>
      <c r="AJ104" s="5"/>
      <c r="AK104" s="6"/>
      <c r="AL104" s="7"/>
      <c r="AM104" s="5"/>
      <c r="AN104" s="5"/>
      <c r="AO104" s="6"/>
      <c r="AP104" s="7"/>
      <c r="AQ104" s="5"/>
      <c r="AR104" s="5"/>
      <c r="AS104" s="6"/>
      <c r="AT104" s="7"/>
      <c r="AU104" s="5"/>
      <c r="AV104" s="5"/>
      <c r="AW104" s="6"/>
      <c r="AX104" s="7"/>
      <c r="AY104" s="5"/>
      <c r="AZ104" s="5"/>
      <c r="BA104" s="6"/>
      <c r="BE104" s="114" t="s">
        <v>10</v>
      </c>
      <c r="BF104" s="115"/>
      <c r="BG104" s="116"/>
      <c r="BH104" s="55">
        <f>SUM(D9:D105)</f>
        <v>84</v>
      </c>
      <c r="BI104" s="56"/>
      <c r="BJ104" s="57" t="s">
        <v>11</v>
      </c>
      <c r="BV104" s="87"/>
    </row>
    <row r="105" spans="2:74" s="18" customFormat="1" ht="19.5" thickTop="1" thickBot="1" x14ac:dyDescent="0.3">
      <c r="B105" s="19"/>
      <c r="C105" s="97"/>
      <c r="D105" s="41">
        <f>SUM(F105:BA105)</f>
        <v>0</v>
      </c>
      <c r="E105" s="42"/>
      <c r="F105" s="7"/>
      <c r="G105" s="5"/>
      <c r="H105" s="5"/>
      <c r="I105" s="6"/>
      <c r="J105" s="7"/>
      <c r="K105" s="5"/>
      <c r="L105" s="5"/>
      <c r="M105" s="6"/>
      <c r="N105" s="7"/>
      <c r="O105" s="5"/>
      <c r="P105" s="5"/>
      <c r="Q105" s="6"/>
      <c r="R105" s="7"/>
      <c r="S105" s="5"/>
      <c r="T105" s="5"/>
      <c r="U105" s="6"/>
      <c r="V105" s="7"/>
      <c r="W105" s="5"/>
      <c r="X105" s="5"/>
      <c r="Y105" s="6"/>
      <c r="Z105" s="7"/>
      <c r="AA105" s="5"/>
      <c r="AB105" s="5"/>
      <c r="AC105" s="6"/>
      <c r="AD105" s="7"/>
      <c r="AE105" s="5"/>
      <c r="AF105" s="5"/>
      <c r="AG105" s="6"/>
      <c r="AH105" s="7"/>
      <c r="AI105" s="5"/>
      <c r="AJ105" s="5"/>
      <c r="AK105" s="6"/>
      <c r="AL105" s="7"/>
      <c r="AM105" s="5"/>
      <c r="AN105" s="5"/>
      <c r="AO105" s="6"/>
      <c r="AP105" s="7"/>
      <c r="AQ105" s="5"/>
      <c r="AR105" s="5"/>
      <c r="AS105" s="6"/>
      <c r="AT105" s="7"/>
      <c r="AU105" s="5"/>
      <c r="AV105" s="5"/>
      <c r="AW105" s="6"/>
      <c r="AX105" s="7"/>
      <c r="AY105" s="5"/>
      <c r="AZ105" s="5"/>
      <c r="BA105" s="5"/>
      <c r="BE105" s="114" t="s">
        <v>9</v>
      </c>
      <c r="BF105" s="115"/>
      <c r="BG105" s="116"/>
      <c r="BH105" s="58"/>
      <c r="BI105" s="55">
        <f>SUM(E9:E106)</f>
        <v>84.75</v>
      </c>
      <c r="BJ105" s="57" t="s">
        <v>11</v>
      </c>
      <c r="BV105" s="87"/>
    </row>
    <row r="106" spans="2:74" s="18" customFormat="1" ht="18.75" thickBot="1" x14ac:dyDescent="0.3">
      <c r="B106" s="19"/>
      <c r="C106" s="97"/>
      <c r="D106" s="43"/>
      <c r="E106" s="44">
        <f>SUM(F106:BA106)</f>
        <v>0</v>
      </c>
      <c r="F106" s="15"/>
      <c r="G106" s="16"/>
      <c r="H106" s="16"/>
      <c r="I106" s="17"/>
      <c r="J106" s="15"/>
      <c r="K106" s="16"/>
      <c r="L106" s="16"/>
      <c r="M106" s="17"/>
      <c r="N106" s="15"/>
      <c r="O106" s="16"/>
      <c r="P106" s="16"/>
      <c r="Q106" s="17"/>
      <c r="R106" s="15"/>
      <c r="S106" s="16"/>
      <c r="T106" s="16"/>
      <c r="U106" s="17"/>
      <c r="V106" s="15"/>
      <c r="W106" s="16"/>
      <c r="X106" s="16"/>
      <c r="Y106" s="17"/>
      <c r="Z106" s="15"/>
      <c r="AA106" s="16"/>
      <c r="AB106" s="16"/>
      <c r="AC106" s="17"/>
      <c r="AD106" s="15"/>
      <c r="AE106" s="16"/>
      <c r="AF106" s="16"/>
      <c r="AG106" s="17"/>
      <c r="AH106" s="15"/>
      <c r="AI106" s="16"/>
      <c r="AJ106" s="16"/>
      <c r="AK106" s="17"/>
      <c r="AL106" s="15"/>
      <c r="AM106" s="16"/>
      <c r="AN106" s="16"/>
      <c r="AO106" s="17"/>
      <c r="AP106" s="15"/>
      <c r="AQ106" s="16"/>
      <c r="AR106" s="16"/>
      <c r="AS106" s="17"/>
      <c r="AT106" s="15"/>
      <c r="AU106" s="16"/>
      <c r="AV106" s="16"/>
      <c r="AW106" s="17"/>
      <c r="AX106" s="15"/>
      <c r="AY106" s="16"/>
      <c r="AZ106" s="16"/>
      <c r="BA106" s="17"/>
      <c r="BE106" s="59"/>
      <c r="BF106" s="59"/>
      <c r="BG106" s="59"/>
      <c r="BH106" s="58"/>
      <c r="BI106" s="58"/>
      <c r="BJ106" s="59"/>
      <c r="BV106" s="87"/>
    </row>
    <row r="107" spans="2:74" s="27" customFormat="1" ht="19.5" thickTop="1" thickBot="1" x14ac:dyDescent="0.3">
      <c r="B107" s="28"/>
      <c r="C107" s="60" t="s">
        <v>22</v>
      </c>
      <c r="D107" s="41">
        <f>SUM(D9:D106)</f>
        <v>84</v>
      </c>
      <c r="E107" s="61">
        <f>SUM(E9:E106)</f>
        <v>84.75</v>
      </c>
      <c r="BB107" s="29"/>
      <c r="BC107" s="29"/>
      <c r="BE107" s="114" t="s">
        <v>1</v>
      </c>
      <c r="BF107" s="115"/>
      <c r="BG107" s="116"/>
      <c r="BH107" s="98">
        <f>IF((BH104-BI105)&gt;0,(BH104-BI105),(BH104-BI105)*(1))</f>
        <v>-0.75</v>
      </c>
      <c r="BI107" s="99"/>
      <c r="BJ107" s="57" t="s">
        <v>11</v>
      </c>
      <c r="BV107" s="86"/>
    </row>
    <row r="108" spans="2:74" s="27" customFormat="1" ht="18.75" thickTop="1" x14ac:dyDescent="0.25">
      <c r="B108" s="28"/>
      <c r="D108" s="80"/>
      <c r="E108" s="81"/>
      <c r="F108" s="119" t="s">
        <v>4</v>
      </c>
      <c r="G108" s="119"/>
      <c r="H108" s="119"/>
      <c r="I108" s="120"/>
      <c r="J108" s="121" t="s">
        <v>5</v>
      </c>
      <c r="K108" s="122"/>
      <c r="L108" s="122"/>
      <c r="M108" s="122"/>
      <c r="N108" s="123" t="s">
        <v>6</v>
      </c>
      <c r="O108" s="123"/>
      <c r="P108" s="123"/>
      <c r="Q108" s="123"/>
      <c r="R108" s="123"/>
      <c r="S108" s="123"/>
      <c r="T108" s="123"/>
      <c r="U108" s="123"/>
      <c r="V108" s="124" t="s">
        <v>2</v>
      </c>
      <c r="W108" s="124"/>
      <c r="X108" s="124"/>
      <c r="Y108" s="124"/>
      <c r="Z108" s="124"/>
      <c r="AA108" s="124"/>
      <c r="AB108" s="124"/>
      <c r="AC108" s="124"/>
      <c r="AL108" s="62"/>
      <c r="AM108" s="62"/>
      <c r="AN108" s="62"/>
      <c r="AO108" s="62"/>
      <c r="AP108" s="62"/>
      <c r="AQ108" s="62"/>
      <c r="AR108" s="68"/>
      <c r="AS108" s="62"/>
      <c r="AT108" s="68"/>
      <c r="AU108" s="68"/>
      <c r="AV108" s="68"/>
      <c r="AW108" s="68"/>
      <c r="AX108" s="68"/>
      <c r="AY108" s="68"/>
      <c r="AZ108" s="68"/>
      <c r="BA108" s="68"/>
      <c r="BB108" s="63"/>
      <c r="BC108" s="63"/>
      <c r="BD108" s="62"/>
      <c r="BE108" s="64"/>
      <c r="BF108" s="64"/>
      <c r="BG108" s="64"/>
      <c r="BH108" s="65"/>
      <c r="BI108" s="65"/>
      <c r="BJ108" s="59"/>
      <c r="BV108" s="86"/>
    </row>
    <row r="109" spans="2:74" s="18" customFormat="1" ht="18" x14ac:dyDescent="0.25">
      <c r="B109" s="19"/>
      <c r="C109" s="79" t="s">
        <v>21</v>
      </c>
      <c r="D109" s="66"/>
      <c r="E109" s="82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2"/>
      <c r="AM109" s="62"/>
      <c r="AN109" s="62"/>
      <c r="AO109" s="62"/>
      <c r="AP109" s="62"/>
      <c r="AQ109" s="62"/>
      <c r="AR109" s="62"/>
      <c r="AS109" s="62"/>
      <c r="AT109" s="68"/>
      <c r="AU109" s="68"/>
      <c r="AV109" s="68"/>
      <c r="AW109" s="68"/>
      <c r="AX109" s="68"/>
      <c r="AY109" s="68"/>
      <c r="AZ109" s="67"/>
      <c r="BA109" s="67"/>
      <c r="BB109" s="67"/>
      <c r="BC109" s="69"/>
      <c r="BD109" s="67"/>
      <c r="BE109" s="67"/>
      <c r="BF109" s="67"/>
      <c r="BG109" s="67"/>
      <c r="BH109" s="40"/>
      <c r="BI109" s="40"/>
    </row>
    <row r="110" spans="2:74" s="18" customFormat="1" ht="18.75" x14ac:dyDescent="0.3">
      <c r="B110" s="19"/>
      <c r="C110" s="70"/>
      <c r="D110" s="66"/>
      <c r="E110" s="82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71"/>
      <c r="AX110" s="71"/>
      <c r="AY110" s="71"/>
      <c r="AZ110" s="67"/>
      <c r="BA110" s="72"/>
      <c r="BB110" s="69"/>
      <c r="BC110" s="67"/>
      <c r="BD110" s="67"/>
      <c r="BF110" s="102">
        <f>IF((BH107)&lt;=0,(BH107/24)*(-1),BH107/24)</f>
        <v>3.125E-2</v>
      </c>
      <c r="BG110" s="102"/>
      <c r="BH110" s="102"/>
      <c r="BI110" s="40"/>
    </row>
    <row r="111" spans="2:74" s="18" customFormat="1" ht="18" x14ac:dyDescent="0.2">
      <c r="B111" s="19"/>
      <c r="C111" s="68" t="s">
        <v>20</v>
      </c>
      <c r="D111" s="73"/>
      <c r="E111" s="83"/>
      <c r="BB111" s="40"/>
      <c r="BC111" s="40"/>
    </row>
    <row r="112" spans="2:74" ht="15" hidden="1" x14ac:dyDescent="0.2">
      <c r="E112" s="84"/>
      <c r="AW112" s="77"/>
    </row>
    <row r="113" spans="5:5" hidden="1" x14ac:dyDescent="0.2">
      <c r="E113" s="84"/>
    </row>
    <row r="114" spans="5:5" hidden="1" x14ac:dyDescent="0.2">
      <c r="E114" s="84"/>
    </row>
    <row r="115" spans="5:5" hidden="1" x14ac:dyDescent="0.2">
      <c r="E115" s="84"/>
    </row>
    <row r="116" spans="5:5" hidden="1" x14ac:dyDescent="0.2">
      <c r="E116" s="84"/>
    </row>
    <row r="117" spans="5:5" hidden="1" x14ac:dyDescent="0.2">
      <c r="E117" s="84"/>
    </row>
    <row r="118" spans="5:5" hidden="1" x14ac:dyDescent="0.2">
      <c r="E118" s="84"/>
    </row>
    <row r="119" spans="5:5" hidden="1" x14ac:dyDescent="0.2">
      <c r="E119" s="84"/>
    </row>
    <row r="120" spans="5:5" hidden="1" x14ac:dyDescent="0.2">
      <c r="E120" s="84"/>
    </row>
    <row r="121" spans="5:5" hidden="1" x14ac:dyDescent="0.2">
      <c r="E121" s="84"/>
    </row>
    <row r="122" spans="5:5" hidden="1" x14ac:dyDescent="0.2">
      <c r="E122" s="84"/>
    </row>
    <row r="123" spans="5:5" hidden="1" x14ac:dyDescent="0.2">
      <c r="E123" s="84"/>
    </row>
    <row r="124" spans="5:5" hidden="1" x14ac:dyDescent="0.2">
      <c r="E124" s="84"/>
    </row>
    <row r="125" spans="5:5" hidden="1" x14ac:dyDescent="0.2">
      <c r="E125" s="84"/>
    </row>
    <row r="126" spans="5:5" hidden="1" x14ac:dyDescent="0.2">
      <c r="E126" s="84"/>
    </row>
    <row r="127" spans="5:5" hidden="1" x14ac:dyDescent="0.2">
      <c r="E127" s="84"/>
    </row>
    <row r="128" spans="5:5" hidden="1" x14ac:dyDescent="0.2">
      <c r="E128" s="84"/>
    </row>
    <row r="129" spans="5:5" hidden="1" x14ac:dyDescent="0.2">
      <c r="E129" s="84"/>
    </row>
    <row r="130" spans="5:5" hidden="1" x14ac:dyDescent="0.2">
      <c r="E130" s="84"/>
    </row>
    <row r="131" spans="5:5" hidden="1" x14ac:dyDescent="0.2">
      <c r="E131" s="84"/>
    </row>
    <row r="132" spans="5:5" hidden="1" x14ac:dyDescent="0.2">
      <c r="E132" s="84"/>
    </row>
    <row r="133" spans="5:5" hidden="1" x14ac:dyDescent="0.2">
      <c r="E133" s="84"/>
    </row>
    <row r="134" spans="5:5" hidden="1" x14ac:dyDescent="0.2">
      <c r="E134" s="84"/>
    </row>
    <row r="135" spans="5:5" hidden="1" x14ac:dyDescent="0.2">
      <c r="E135" s="84"/>
    </row>
    <row r="136" spans="5:5" hidden="1" x14ac:dyDescent="0.2">
      <c r="E136" s="84"/>
    </row>
    <row r="137" spans="5:5" hidden="1" x14ac:dyDescent="0.2">
      <c r="E137" s="84"/>
    </row>
    <row r="138" spans="5:5" hidden="1" x14ac:dyDescent="0.2">
      <c r="E138" s="84"/>
    </row>
    <row r="139" spans="5:5" hidden="1" x14ac:dyDescent="0.2">
      <c r="E139" s="84"/>
    </row>
    <row r="140" spans="5:5" hidden="1" x14ac:dyDescent="0.2">
      <c r="E140" s="84"/>
    </row>
    <row r="141" spans="5:5" hidden="1" x14ac:dyDescent="0.2">
      <c r="E141" s="84"/>
    </row>
    <row r="142" spans="5:5" hidden="1" x14ac:dyDescent="0.2">
      <c r="E142" s="84"/>
    </row>
    <row r="143" spans="5:5" hidden="1" x14ac:dyDescent="0.2">
      <c r="E143" s="84"/>
    </row>
    <row r="144" spans="5:5" hidden="1" x14ac:dyDescent="0.2">
      <c r="E144" s="84"/>
    </row>
    <row r="145" spans="5:5" hidden="1" x14ac:dyDescent="0.2">
      <c r="E145" s="84"/>
    </row>
    <row r="146" spans="5:5" hidden="1" x14ac:dyDescent="0.2">
      <c r="E146" s="84"/>
    </row>
    <row r="147" spans="5:5" hidden="1" x14ac:dyDescent="0.2">
      <c r="E147" s="84"/>
    </row>
    <row r="148" spans="5:5" hidden="1" x14ac:dyDescent="0.2">
      <c r="E148" s="84"/>
    </row>
    <row r="149" spans="5:5" hidden="1" x14ac:dyDescent="0.2">
      <c r="E149" s="84"/>
    </row>
    <row r="150" spans="5:5" hidden="1" x14ac:dyDescent="0.2">
      <c r="E150" s="84"/>
    </row>
    <row r="151" spans="5:5" hidden="1" x14ac:dyDescent="0.2">
      <c r="E151" s="84"/>
    </row>
    <row r="152" spans="5:5" hidden="1" x14ac:dyDescent="0.2">
      <c r="E152" s="84"/>
    </row>
    <row r="153" spans="5:5" hidden="1" x14ac:dyDescent="0.2">
      <c r="E153" s="84"/>
    </row>
    <row r="154" spans="5:5" hidden="1" x14ac:dyDescent="0.2">
      <c r="E154" s="84"/>
    </row>
    <row r="155" spans="5:5" hidden="1" x14ac:dyDescent="0.2">
      <c r="E155" s="84"/>
    </row>
    <row r="156" spans="5:5" hidden="1" x14ac:dyDescent="0.2">
      <c r="E156" s="84"/>
    </row>
    <row r="157" spans="5:5" hidden="1" x14ac:dyDescent="0.2">
      <c r="E157" s="84"/>
    </row>
    <row r="158" spans="5:5" hidden="1" x14ac:dyDescent="0.2">
      <c r="E158" s="84"/>
    </row>
    <row r="159" spans="5:5" hidden="1" x14ac:dyDescent="0.2">
      <c r="E159" s="84"/>
    </row>
    <row r="160" spans="5:5" hidden="1" x14ac:dyDescent="0.2">
      <c r="E160" s="84"/>
    </row>
    <row r="161" spans="5:5" hidden="1" x14ac:dyDescent="0.2">
      <c r="E161" s="84"/>
    </row>
    <row r="162" spans="5:5" hidden="1" x14ac:dyDescent="0.2">
      <c r="E162" s="84"/>
    </row>
    <row r="163" spans="5:5" hidden="1" x14ac:dyDescent="0.2">
      <c r="E163" s="84"/>
    </row>
    <row r="164" spans="5:5" hidden="1" x14ac:dyDescent="0.2">
      <c r="E164" s="84"/>
    </row>
    <row r="165" spans="5:5" hidden="1" x14ac:dyDescent="0.2">
      <c r="E165" s="84"/>
    </row>
    <row r="166" spans="5:5" hidden="1" x14ac:dyDescent="0.2">
      <c r="E166" s="84"/>
    </row>
    <row r="167" spans="5:5" hidden="1" x14ac:dyDescent="0.2">
      <c r="E167" s="84"/>
    </row>
    <row r="168" spans="5:5" hidden="1" x14ac:dyDescent="0.2">
      <c r="E168" s="84"/>
    </row>
    <row r="169" spans="5:5" hidden="1" x14ac:dyDescent="0.2">
      <c r="E169" s="84"/>
    </row>
    <row r="170" spans="5:5" hidden="1" x14ac:dyDescent="0.2">
      <c r="E170" s="84"/>
    </row>
    <row r="171" spans="5:5" hidden="1" x14ac:dyDescent="0.2">
      <c r="E171" s="84"/>
    </row>
    <row r="172" spans="5:5" hidden="1" x14ac:dyDescent="0.2">
      <c r="E172" s="84"/>
    </row>
    <row r="173" spans="5:5" hidden="1" x14ac:dyDescent="0.2">
      <c r="E173" s="84"/>
    </row>
    <row r="174" spans="5:5" hidden="1" x14ac:dyDescent="0.2">
      <c r="E174" s="84"/>
    </row>
    <row r="175" spans="5:5" hidden="1" x14ac:dyDescent="0.2">
      <c r="E175" s="84"/>
    </row>
    <row r="176" spans="5:5" hidden="1" x14ac:dyDescent="0.2">
      <c r="E176" s="84"/>
    </row>
    <row r="177" spans="5:5" hidden="1" x14ac:dyDescent="0.2">
      <c r="E177" s="84"/>
    </row>
    <row r="178" spans="5:5" hidden="1" x14ac:dyDescent="0.2">
      <c r="E178" s="84"/>
    </row>
    <row r="179" spans="5:5" hidden="1" x14ac:dyDescent="0.2">
      <c r="E179" s="84"/>
    </row>
    <row r="180" spans="5:5" hidden="1" x14ac:dyDescent="0.2">
      <c r="E180" s="84"/>
    </row>
    <row r="181" spans="5:5" hidden="1" x14ac:dyDescent="0.2">
      <c r="E181" s="84"/>
    </row>
    <row r="182" spans="5:5" hidden="1" x14ac:dyDescent="0.2">
      <c r="E182" s="84"/>
    </row>
    <row r="183" spans="5:5" hidden="1" x14ac:dyDescent="0.2">
      <c r="E183" s="84"/>
    </row>
    <row r="184" spans="5:5" hidden="1" x14ac:dyDescent="0.2">
      <c r="E184" s="84"/>
    </row>
    <row r="185" spans="5:5" hidden="1" x14ac:dyDescent="0.2">
      <c r="E185" s="84"/>
    </row>
    <row r="186" spans="5:5" hidden="1" x14ac:dyDescent="0.2">
      <c r="E186" s="84"/>
    </row>
    <row r="187" spans="5:5" hidden="1" x14ac:dyDescent="0.2">
      <c r="E187" s="84"/>
    </row>
    <row r="188" spans="5:5" hidden="1" x14ac:dyDescent="0.2">
      <c r="E188" s="84"/>
    </row>
    <row r="189" spans="5:5" hidden="1" x14ac:dyDescent="0.2">
      <c r="E189" s="84"/>
    </row>
    <row r="190" spans="5:5" hidden="1" x14ac:dyDescent="0.2">
      <c r="E190" s="84"/>
    </row>
    <row r="191" spans="5:5" hidden="1" x14ac:dyDescent="0.2">
      <c r="E191" s="84"/>
    </row>
    <row r="192" spans="5:5" hidden="1" x14ac:dyDescent="0.2">
      <c r="E192" s="84"/>
    </row>
    <row r="193" spans="5:5" hidden="1" x14ac:dyDescent="0.2">
      <c r="E193" s="84"/>
    </row>
    <row r="194" spans="5:5" hidden="1" x14ac:dyDescent="0.2">
      <c r="E194" s="84"/>
    </row>
    <row r="195" spans="5:5" hidden="1" x14ac:dyDescent="0.2">
      <c r="E195" s="84"/>
    </row>
    <row r="196" spans="5:5" hidden="1" x14ac:dyDescent="0.2">
      <c r="E196" s="84"/>
    </row>
    <row r="197" spans="5:5" hidden="1" x14ac:dyDescent="0.2">
      <c r="E197" s="84"/>
    </row>
    <row r="198" spans="5:5" hidden="1" x14ac:dyDescent="0.2">
      <c r="E198" s="84"/>
    </row>
    <row r="199" spans="5:5" hidden="1" x14ac:dyDescent="0.2">
      <c r="E199" s="84"/>
    </row>
    <row r="200" spans="5:5" hidden="1" x14ac:dyDescent="0.2">
      <c r="E200" s="84"/>
    </row>
    <row r="201" spans="5:5" hidden="1" x14ac:dyDescent="0.2">
      <c r="E201" s="84"/>
    </row>
    <row r="202" spans="5:5" hidden="1" x14ac:dyDescent="0.2">
      <c r="E202" s="84"/>
    </row>
    <row r="203" spans="5:5" hidden="1" x14ac:dyDescent="0.2">
      <c r="E203" s="84"/>
    </row>
    <row r="204" spans="5:5" hidden="1" x14ac:dyDescent="0.2">
      <c r="E204" s="84"/>
    </row>
    <row r="205" spans="5:5" hidden="1" x14ac:dyDescent="0.2">
      <c r="E205" s="84"/>
    </row>
    <row r="206" spans="5:5" hidden="1" x14ac:dyDescent="0.2">
      <c r="E206" s="84"/>
    </row>
    <row r="207" spans="5:5" hidden="1" x14ac:dyDescent="0.2">
      <c r="E207" s="84"/>
    </row>
    <row r="208" spans="5:5" hidden="1" x14ac:dyDescent="0.2">
      <c r="E208" s="84"/>
    </row>
    <row r="209" spans="5:5" hidden="1" x14ac:dyDescent="0.2">
      <c r="E209" s="84"/>
    </row>
    <row r="210" spans="5:5" hidden="1" x14ac:dyDescent="0.2">
      <c r="E210" s="84"/>
    </row>
    <row r="211" spans="5:5" hidden="1" x14ac:dyDescent="0.2">
      <c r="E211" s="84"/>
    </row>
    <row r="212" spans="5:5" hidden="1" x14ac:dyDescent="0.2">
      <c r="E212" s="84"/>
    </row>
    <row r="213" spans="5:5" hidden="1" x14ac:dyDescent="0.2">
      <c r="E213" s="84"/>
    </row>
    <row r="214" spans="5:5" hidden="1" x14ac:dyDescent="0.2">
      <c r="E214" s="84"/>
    </row>
    <row r="215" spans="5:5" hidden="1" x14ac:dyDescent="0.2">
      <c r="E215" s="84"/>
    </row>
    <row r="216" spans="5:5" hidden="1" x14ac:dyDescent="0.2">
      <c r="E216" s="84"/>
    </row>
    <row r="217" spans="5:5" hidden="1" x14ac:dyDescent="0.2">
      <c r="E217" s="84"/>
    </row>
    <row r="218" spans="5:5" hidden="1" x14ac:dyDescent="0.2">
      <c r="E218" s="84"/>
    </row>
    <row r="219" spans="5:5" hidden="1" x14ac:dyDescent="0.2">
      <c r="E219" s="84"/>
    </row>
    <row r="220" spans="5:5" hidden="1" x14ac:dyDescent="0.2">
      <c r="E220" s="84"/>
    </row>
    <row r="221" spans="5:5" hidden="1" x14ac:dyDescent="0.2">
      <c r="E221" s="84"/>
    </row>
    <row r="222" spans="5:5" hidden="1" x14ac:dyDescent="0.2">
      <c r="E222" s="84"/>
    </row>
    <row r="223" spans="5:5" hidden="1" x14ac:dyDescent="0.2">
      <c r="E223" s="84"/>
    </row>
    <row r="224" spans="5:5" hidden="1" x14ac:dyDescent="0.2">
      <c r="E224" s="84"/>
    </row>
    <row r="225" spans="5:5" hidden="1" x14ac:dyDescent="0.2">
      <c r="E225" s="84"/>
    </row>
    <row r="226" spans="5:5" hidden="1" x14ac:dyDescent="0.2">
      <c r="E226" s="84"/>
    </row>
    <row r="227" spans="5:5" hidden="1" x14ac:dyDescent="0.2">
      <c r="E227" s="84"/>
    </row>
    <row r="228" spans="5:5" hidden="1" x14ac:dyDescent="0.2">
      <c r="E228" s="84"/>
    </row>
    <row r="229" spans="5:5" hidden="1" x14ac:dyDescent="0.2">
      <c r="E229" s="84"/>
    </row>
    <row r="230" spans="5:5" hidden="1" x14ac:dyDescent="0.2">
      <c r="E230" s="84"/>
    </row>
    <row r="231" spans="5:5" hidden="1" x14ac:dyDescent="0.2">
      <c r="E231" s="84"/>
    </row>
    <row r="232" spans="5:5" hidden="1" x14ac:dyDescent="0.2">
      <c r="E232" s="84"/>
    </row>
    <row r="233" spans="5:5" hidden="1" x14ac:dyDescent="0.2">
      <c r="E233" s="84"/>
    </row>
    <row r="234" spans="5:5" hidden="1" x14ac:dyDescent="0.2">
      <c r="E234" s="84"/>
    </row>
    <row r="235" spans="5:5" hidden="1" x14ac:dyDescent="0.2">
      <c r="E235" s="84"/>
    </row>
    <row r="236" spans="5:5" hidden="1" x14ac:dyDescent="0.2">
      <c r="E236" s="84"/>
    </row>
    <row r="237" spans="5:5" hidden="1" x14ac:dyDescent="0.2">
      <c r="E237" s="84"/>
    </row>
    <row r="238" spans="5:5" hidden="1" x14ac:dyDescent="0.2">
      <c r="E238" s="84"/>
    </row>
    <row r="239" spans="5:5" hidden="1" x14ac:dyDescent="0.2">
      <c r="E239" s="84"/>
    </row>
    <row r="240" spans="5:5" hidden="1" x14ac:dyDescent="0.2">
      <c r="E240" s="84"/>
    </row>
    <row r="241" spans="5:5" hidden="1" x14ac:dyDescent="0.2">
      <c r="E241" s="84"/>
    </row>
    <row r="242" spans="5:5" hidden="1" x14ac:dyDescent="0.2">
      <c r="E242" s="84"/>
    </row>
    <row r="243" spans="5:5" hidden="1" x14ac:dyDescent="0.2">
      <c r="E243" s="84"/>
    </row>
    <row r="244" spans="5:5" hidden="1" x14ac:dyDescent="0.2">
      <c r="E244" s="84"/>
    </row>
    <row r="245" spans="5:5" hidden="1" x14ac:dyDescent="0.2">
      <c r="E245" s="84"/>
    </row>
    <row r="246" spans="5:5" hidden="1" x14ac:dyDescent="0.2">
      <c r="E246" s="84"/>
    </row>
    <row r="247" spans="5:5" hidden="1" x14ac:dyDescent="0.2">
      <c r="E247" s="84"/>
    </row>
    <row r="248" spans="5:5" hidden="1" x14ac:dyDescent="0.2">
      <c r="E248" s="84"/>
    </row>
    <row r="249" spans="5:5" hidden="1" x14ac:dyDescent="0.2">
      <c r="E249" s="84"/>
    </row>
    <row r="250" spans="5:5" hidden="1" x14ac:dyDescent="0.2">
      <c r="E250" s="84"/>
    </row>
    <row r="251" spans="5:5" hidden="1" x14ac:dyDescent="0.2">
      <c r="E251" s="84"/>
    </row>
    <row r="252" spans="5:5" hidden="1" x14ac:dyDescent="0.2">
      <c r="E252" s="84"/>
    </row>
    <row r="253" spans="5:5" hidden="1" x14ac:dyDescent="0.2">
      <c r="E253" s="84"/>
    </row>
    <row r="254" spans="5:5" hidden="1" x14ac:dyDescent="0.2">
      <c r="E254" s="84"/>
    </row>
    <row r="255" spans="5:5" hidden="1" x14ac:dyDescent="0.2">
      <c r="E255" s="84"/>
    </row>
    <row r="256" spans="5:5" hidden="1" x14ac:dyDescent="0.2">
      <c r="E256" s="84"/>
    </row>
    <row r="257" spans="5:5" hidden="1" x14ac:dyDescent="0.2">
      <c r="E257" s="84"/>
    </row>
    <row r="258" spans="5:5" hidden="1" x14ac:dyDescent="0.2">
      <c r="E258" s="84"/>
    </row>
    <row r="259" spans="5:5" hidden="1" x14ac:dyDescent="0.2">
      <c r="E259" s="84"/>
    </row>
    <row r="260" spans="5:5" hidden="1" x14ac:dyDescent="0.2">
      <c r="E260" s="84"/>
    </row>
    <row r="261" spans="5:5" hidden="1" x14ac:dyDescent="0.2">
      <c r="E261" s="84"/>
    </row>
    <row r="262" spans="5:5" hidden="1" x14ac:dyDescent="0.2">
      <c r="E262" s="84"/>
    </row>
    <row r="263" spans="5:5" hidden="1" x14ac:dyDescent="0.2">
      <c r="E263" s="84"/>
    </row>
    <row r="264" spans="5:5" hidden="1" x14ac:dyDescent="0.2">
      <c r="E264" s="84"/>
    </row>
    <row r="265" spans="5:5" hidden="1" x14ac:dyDescent="0.2">
      <c r="E265" s="84"/>
    </row>
    <row r="266" spans="5:5" hidden="1" x14ac:dyDescent="0.2">
      <c r="E266" s="84"/>
    </row>
    <row r="267" spans="5:5" hidden="1" x14ac:dyDescent="0.2">
      <c r="E267" s="84"/>
    </row>
    <row r="268" spans="5:5" hidden="1" x14ac:dyDescent="0.2">
      <c r="E268" s="84"/>
    </row>
    <row r="269" spans="5:5" hidden="1" x14ac:dyDescent="0.2">
      <c r="E269" s="84"/>
    </row>
    <row r="270" spans="5:5" hidden="1" x14ac:dyDescent="0.2">
      <c r="E270" s="84"/>
    </row>
    <row r="271" spans="5:5" hidden="1" x14ac:dyDescent="0.2">
      <c r="E271" s="84"/>
    </row>
    <row r="272" spans="5:5" hidden="1" x14ac:dyDescent="0.2">
      <c r="E272" s="84"/>
    </row>
    <row r="273" spans="5:5" hidden="1" x14ac:dyDescent="0.2">
      <c r="E273" s="84"/>
    </row>
    <row r="274" spans="5:5" hidden="1" x14ac:dyDescent="0.2">
      <c r="E274" s="84"/>
    </row>
    <row r="275" spans="5:5" hidden="1" x14ac:dyDescent="0.2">
      <c r="E275" s="84"/>
    </row>
    <row r="276" spans="5:5" hidden="1" x14ac:dyDescent="0.2">
      <c r="E276" s="84"/>
    </row>
    <row r="277" spans="5:5" hidden="1" x14ac:dyDescent="0.2">
      <c r="E277" s="84"/>
    </row>
    <row r="278" spans="5:5" hidden="1" x14ac:dyDescent="0.2">
      <c r="E278" s="84"/>
    </row>
    <row r="279" spans="5:5" hidden="1" x14ac:dyDescent="0.2">
      <c r="E279" s="84"/>
    </row>
    <row r="280" spans="5:5" hidden="1" x14ac:dyDescent="0.2">
      <c r="E280" s="84"/>
    </row>
    <row r="281" spans="5:5" hidden="1" x14ac:dyDescent="0.2">
      <c r="E281" s="84"/>
    </row>
    <row r="282" spans="5:5" hidden="1" x14ac:dyDescent="0.2">
      <c r="E282" s="84"/>
    </row>
    <row r="283" spans="5:5" hidden="1" x14ac:dyDescent="0.2">
      <c r="E283" s="84"/>
    </row>
    <row r="284" spans="5:5" hidden="1" x14ac:dyDescent="0.2">
      <c r="E284" s="84"/>
    </row>
    <row r="285" spans="5:5" hidden="1" x14ac:dyDescent="0.2">
      <c r="E285" s="84"/>
    </row>
    <row r="286" spans="5:5" hidden="1" x14ac:dyDescent="0.2">
      <c r="E286" s="84"/>
    </row>
    <row r="287" spans="5:5" hidden="1" x14ac:dyDescent="0.2">
      <c r="E287" s="84"/>
    </row>
    <row r="288" spans="5:5" hidden="1" x14ac:dyDescent="0.2">
      <c r="E288" s="84"/>
    </row>
    <row r="289" spans="5:5" hidden="1" x14ac:dyDescent="0.2">
      <c r="E289" s="84"/>
    </row>
    <row r="290" spans="5:5" hidden="1" x14ac:dyDescent="0.2">
      <c r="E290" s="84"/>
    </row>
    <row r="291" spans="5:5" hidden="1" x14ac:dyDescent="0.2">
      <c r="E291" s="84"/>
    </row>
    <row r="292" spans="5:5" hidden="1" x14ac:dyDescent="0.2">
      <c r="E292" s="84"/>
    </row>
    <row r="293" spans="5:5" hidden="1" x14ac:dyDescent="0.2">
      <c r="E293" s="84"/>
    </row>
    <row r="294" spans="5:5" hidden="1" x14ac:dyDescent="0.2">
      <c r="E294" s="84"/>
    </row>
    <row r="295" spans="5:5" hidden="1" x14ac:dyDescent="0.2">
      <c r="E295" s="84"/>
    </row>
    <row r="296" spans="5:5" hidden="1" x14ac:dyDescent="0.2">
      <c r="E296" s="84"/>
    </row>
    <row r="297" spans="5:5" hidden="1" x14ac:dyDescent="0.2">
      <c r="E297" s="84"/>
    </row>
    <row r="298" spans="5:5" hidden="1" x14ac:dyDescent="0.2">
      <c r="E298" s="84"/>
    </row>
    <row r="299" spans="5:5" hidden="1" x14ac:dyDescent="0.2">
      <c r="E299" s="84"/>
    </row>
    <row r="300" spans="5:5" hidden="1" x14ac:dyDescent="0.2">
      <c r="E300" s="84"/>
    </row>
    <row r="301" spans="5:5" hidden="1" x14ac:dyDescent="0.2">
      <c r="E301" s="84"/>
    </row>
    <row r="302" spans="5:5" hidden="1" x14ac:dyDescent="0.2">
      <c r="E302" s="84"/>
    </row>
    <row r="303" spans="5:5" hidden="1" x14ac:dyDescent="0.2">
      <c r="E303" s="84"/>
    </row>
    <row r="304" spans="5:5" hidden="1" x14ac:dyDescent="0.2">
      <c r="E304" s="84"/>
    </row>
    <row r="305" spans="5:5" hidden="1" x14ac:dyDescent="0.2">
      <c r="E305" s="84"/>
    </row>
    <row r="306" spans="5:5" hidden="1" x14ac:dyDescent="0.2">
      <c r="E306" s="84"/>
    </row>
    <row r="307" spans="5:5" hidden="1" x14ac:dyDescent="0.2">
      <c r="E307" s="84"/>
    </row>
    <row r="308" spans="5:5" hidden="1" x14ac:dyDescent="0.2">
      <c r="E308" s="84"/>
    </row>
    <row r="309" spans="5:5" hidden="1" x14ac:dyDescent="0.2">
      <c r="E309" s="84"/>
    </row>
    <row r="310" spans="5:5" hidden="1" x14ac:dyDescent="0.2">
      <c r="E310" s="84"/>
    </row>
    <row r="311" spans="5:5" hidden="1" x14ac:dyDescent="0.2">
      <c r="E311" s="84"/>
    </row>
    <row r="312" spans="5:5" hidden="1" x14ac:dyDescent="0.2">
      <c r="E312" s="84"/>
    </row>
    <row r="313" spans="5:5" hidden="1" x14ac:dyDescent="0.2">
      <c r="E313" s="84"/>
    </row>
    <row r="314" spans="5:5" hidden="1" x14ac:dyDescent="0.2">
      <c r="E314" s="84"/>
    </row>
    <row r="315" spans="5:5" hidden="1" x14ac:dyDescent="0.2">
      <c r="E315" s="84"/>
    </row>
    <row r="316" spans="5:5" hidden="1" x14ac:dyDescent="0.2">
      <c r="E316" s="84"/>
    </row>
    <row r="317" spans="5:5" hidden="1" x14ac:dyDescent="0.2">
      <c r="E317" s="84"/>
    </row>
    <row r="318" spans="5:5" hidden="1" x14ac:dyDescent="0.2">
      <c r="E318" s="84"/>
    </row>
    <row r="319" spans="5:5" hidden="1" x14ac:dyDescent="0.2">
      <c r="E319" s="84"/>
    </row>
    <row r="320" spans="5:5" hidden="1" x14ac:dyDescent="0.2">
      <c r="E320" s="84"/>
    </row>
    <row r="321" spans="5:5" hidden="1" x14ac:dyDescent="0.2">
      <c r="E321" s="84"/>
    </row>
    <row r="322" spans="5:5" hidden="1" x14ac:dyDescent="0.2">
      <c r="E322" s="84"/>
    </row>
    <row r="323" spans="5:5" hidden="1" x14ac:dyDescent="0.2">
      <c r="E323" s="84"/>
    </row>
    <row r="324" spans="5:5" hidden="1" x14ac:dyDescent="0.2">
      <c r="E324" s="84"/>
    </row>
    <row r="325" spans="5:5" hidden="1" x14ac:dyDescent="0.2">
      <c r="E325" s="84"/>
    </row>
    <row r="326" spans="5:5" hidden="1" x14ac:dyDescent="0.2">
      <c r="E326" s="84"/>
    </row>
    <row r="327" spans="5:5" hidden="1" x14ac:dyDescent="0.2">
      <c r="E327" s="84"/>
    </row>
    <row r="328" spans="5:5" hidden="1" x14ac:dyDescent="0.2">
      <c r="E328" s="84"/>
    </row>
    <row r="329" spans="5:5" hidden="1" x14ac:dyDescent="0.2">
      <c r="E329" s="84"/>
    </row>
    <row r="330" spans="5:5" hidden="1" x14ac:dyDescent="0.2">
      <c r="E330" s="84"/>
    </row>
    <row r="331" spans="5:5" hidden="1" x14ac:dyDescent="0.2">
      <c r="E331" s="84"/>
    </row>
    <row r="332" spans="5:5" hidden="1" x14ac:dyDescent="0.2">
      <c r="E332" s="84"/>
    </row>
    <row r="333" spans="5:5" hidden="1" x14ac:dyDescent="0.2">
      <c r="E333" s="84"/>
    </row>
    <row r="334" spans="5:5" hidden="1" x14ac:dyDescent="0.2">
      <c r="E334" s="84"/>
    </row>
    <row r="335" spans="5:5" hidden="1" x14ac:dyDescent="0.2">
      <c r="E335" s="84"/>
    </row>
    <row r="336" spans="5:5" hidden="1" x14ac:dyDescent="0.2">
      <c r="E336" s="84"/>
    </row>
    <row r="337" spans="5:5" hidden="1" x14ac:dyDescent="0.2">
      <c r="E337" s="84"/>
    </row>
    <row r="338" spans="5:5" hidden="1" x14ac:dyDescent="0.2">
      <c r="E338" s="84"/>
    </row>
    <row r="339" spans="5:5" hidden="1" x14ac:dyDescent="0.2">
      <c r="E339" s="84"/>
    </row>
    <row r="340" spans="5:5" x14ac:dyDescent="0.2">
      <c r="E340" s="84"/>
    </row>
  </sheetData>
  <mergeCells count="114">
    <mergeCell ref="AT2:AW2"/>
    <mergeCell ref="BE107:BG107"/>
    <mergeCell ref="BE105:BG105"/>
    <mergeCell ref="BE104:BG104"/>
    <mergeCell ref="D6:E6"/>
    <mergeCell ref="F108:I108"/>
    <mergeCell ref="J108:M108"/>
    <mergeCell ref="N108:U108"/>
    <mergeCell ref="V108:AC108"/>
    <mergeCell ref="AH5:AK5"/>
    <mergeCell ref="AL5:AO5"/>
    <mergeCell ref="AP5:AS5"/>
    <mergeCell ref="Z5:AC5"/>
    <mergeCell ref="AD5:AG5"/>
    <mergeCell ref="F4:I4"/>
    <mergeCell ref="J4:M4"/>
    <mergeCell ref="N4:Q4"/>
    <mergeCell ref="V4:Y4"/>
    <mergeCell ref="V2:Y2"/>
    <mergeCell ref="Z2:AC2"/>
    <mergeCell ref="AD2:AG2"/>
    <mergeCell ref="AH2:AK2"/>
    <mergeCell ref="AL2:AO2"/>
    <mergeCell ref="AL3:AO3"/>
    <mergeCell ref="C1:BA1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  <mergeCell ref="AX6:BA6"/>
    <mergeCell ref="AX2:BA2"/>
    <mergeCell ref="AX3:BA3"/>
    <mergeCell ref="AH3:AK3"/>
    <mergeCell ref="AP2:AS2"/>
    <mergeCell ref="AP3:AS3"/>
    <mergeCell ref="R5:U5"/>
    <mergeCell ref="V5:Y5"/>
    <mergeCell ref="Z4:AC4"/>
    <mergeCell ref="AD4:AG4"/>
    <mergeCell ref="C4:E4"/>
    <mergeCell ref="C5:E5"/>
    <mergeCell ref="BF110:BH110"/>
    <mergeCell ref="F2:I2"/>
    <mergeCell ref="J2:M2"/>
    <mergeCell ref="N2:Q2"/>
    <mergeCell ref="R2:U2"/>
    <mergeCell ref="C49:C50"/>
    <mergeCell ref="C19:C20"/>
    <mergeCell ref="C23:C24"/>
    <mergeCell ref="C25:C26"/>
    <mergeCell ref="C27:C28"/>
    <mergeCell ref="C29:C30"/>
    <mergeCell ref="C39:C40"/>
    <mergeCell ref="C41:C42"/>
    <mergeCell ref="C43:C44"/>
    <mergeCell ref="C35:C36"/>
    <mergeCell ref="R4:U4"/>
    <mergeCell ref="AT3:AW3"/>
    <mergeCell ref="C11:C12"/>
    <mergeCell ref="C15:C16"/>
    <mergeCell ref="C17:C18"/>
    <mergeCell ref="F5:I5"/>
    <mergeCell ref="AH4:AK4"/>
    <mergeCell ref="AL4:AO4"/>
    <mergeCell ref="AP4:AS4"/>
    <mergeCell ref="Z3:AC3"/>
    <mergeCell ref="C105:C106"/>
    <mergeCell ref="C45:C46"/>
    <mergeCell ref="C47:C48"/>
    <mergeCell ref="C101:C102"/>
    <mergeCell ref="BH107:BI107"/>
    <mergeCell ref="N3:Q3"/>
    <mergeCell ref="R3:U3"/>
    <mergeCell ref="V3:Y3"/>
    <mergeCell ref="F3:I3"/>
    <mergeCell ref="J3:M3"/>
    <mergeCell ref="C79:C80"/>
    <mergeCell ref="C91:C92"/>
    <mergeCell ref="C87:C88"/>
    <mergeCell ref="C89:C90"/>
    <mergeCell ref="C71:C72"/>
    <mergeCell ref="AT4:AW4"/>
    <mergeCell ref="AX4:BA4"/>
    <mergeCell ref="C33:C34"/>
    <mergeCell ref="AT5:AW5"/>
    <mergeCell ref="AX5:BA5"/>
    <mergeCell ref="AD3:AG3"/>
    <mergeCell ref="C97:C98"/>
    <mergeCell ref="J5:M5"/>
    <mergeCell ref="N5:Q5"/>
    <mergeCell ref="C9:C10"/>
    <mergeCell ref="C31:C32"/>
    <mergeCell ref="C13:C14"/>
    <mergeCell ref="C53:C54"/>
    <mergeCell ref="C51:C52"/>
    <mergeCell ref="C95:C96"/>
    <mergeCell ref="C57:C58"/>
    <mergeCell ref="C59:C60"/>
    <mergeCell ref="C61:C62"/>
    <mergeCell ref="C63:C64"/>
    <mergeCell ref="C65:C66"/>
    <mergeCell ref="C67:C68"/>
    <mergeCell ref="C69:C70"/>
    <mergeCell ref="C75:C76"/>
    <mergeCell ref="C77:C78"/>
    <mergeCell ref="C81:C82"/>
    <mergeCell ref="C85:C86"/>
  </mergeCells>
  <conditionalFormatting sqref="BF110">
    <cfRule type="expression" dxfId="1" priority="1">
      <formula>$BH$107&gt;0</formula>
    </cfRule>
    <cfRule type="expression" dxfId="0" priority="8">
      <formula>$BH$107&lt;0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74801-13DF-4427-B402-2D080C779060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customXml/itemProps2.xml><?xml version="1.0" encoding="utf-8"?>
<ds:datastoreItem xmlns:ds="http://schemas.openxmlformats.org/officeDocument/2006/customXml" ds:itemID="{5752E652-DD0D-46FB-9387-39888CBB7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0B1C85-06A4-4402-967D-2C9EECE4E4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A_r_b_e_i_t_s_______P_l_a_n_u_n_g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Bruno</dc:creator>
  <cp:lastModifiedBy>Benjamin Phengrasamy</cp:lastModifiedBy>
  <cp:lastPrinted>2012-05-08T21:18:46Z</cp:lastPrinted>
  <dcterms:created xsi:type="dcterms:W3CDTF">2011-11-30T18:59:22Z</dcterms:created>
  <dcterms:modified xsi:type="dcterms:W3CDTF">2026-03-13T22:32:49Z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