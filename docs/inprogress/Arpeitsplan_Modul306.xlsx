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-PCTower\Downloads\"/>
    </mc:Choice>
  </mc:AlternateContent>
  <xr:revisionPtr revIDLastSave="0" documentId="13_ncr:1_{D8136CFF-2BB7-458A-8DBC-9955A00C54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rminplan" sheetId="5" r:id="rId1"/>
    <sheet name="Ch.G" sheetId="6" r:id="rId2"/>
    <sheet name="St.G" sheetId="7" r:id="rId3"/>
    <sheet name="Be.P" sheetId="8" r:id="rId4"/>
    <sheet name="Su.S" sheetId="9" r:id="rId5"/>
  </sheets>
  <definedNames>
    <definedName name="A_r_b_e_i_t_s_______P_l_a_n_u_n_g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0" i="5" l="1"/>
  <c r="D60" i="5" s="1"/>
  <c r="AC56" i="5"/>
  <c r="AC57" i="5"/>
  <c r="Z4" i="5"/>
  <c r="Y56" i="5"/>
  <c r="V3" i="5" s="1"/>
  <c r="Y57" i="5"/>
  <c r="U57" i="5"/>
  <c r="Q57" i="5"/>
  <c r="U56" i="5"/>
  <c r="Q56" i="5"/>
  <c r="N3" i="5" s="1"/>
  <c r="N32" i="5"/>
  <c r="D37" i="9"/>
  <c r="D37" i="8"/>
  <c r="D37" i="7"/>
  <c r="I57" i="5"/>
  <c r="M57" i="5"/>
  <c r="M56" i="5"/>
  <c r="J20" i="5"/>
  <c r="AH4" i="5"/>
  <c r="AH3" i="5"/>
  <c r="AH5" i="5" s="1"/>
  <c r="D37" i="6"/>
  <c r="Z3" i="5"/>
  <c r="AD3" i="5"/>
  <c r="V4" i="5"/>
  <c r="AD4" i="5"/>
  <c r="AD5" i="5" s="1"/>
  <c r="F8" i="5"/>
  <c r="D8" i="5" s="1"/>
  <c r="F9" i="5"/>
  <c r="G10" i="5"/>
  <c r="G11" i="5"/>
  <c r="E11" i="5" s="1"/>
  <c r="H12" i="5"/>
  <c r="D12" i="5" s="1"/>
  <c r="H13" i="5"/>
  <c r="E13" i="5" s="1"/>
  <c r="H14" i="5"/>
  <c r="D14" i="5" s="1"/>
  <c r="H15" i="5"/>
  <c r="E15" i="5" s="1"/>
  <c r="I16" i="5"/>
  <c r="D16" i="5" s="1"/>
  <c r="I17" i="5"/>
  <c r="E17" i="5" s="1"/>
  <c r="K20" i="5"/>
  <c r="J21" i="5"/>
  <c r="K21" i="5"/>
  <c r="K22" i="5"/>
  <c r="L22" i="5"/>
  <c r="K23" i="5"/>
  <c r="L23" i="5"/>
  <c r="L24" i="5"/>
  <c r="M24" i="5"/>
  <c r="L25" i="5"/>
  <c r="M25" i="5"/>
  <c r="M26" i="5"/>
  <c r="D26" i="5" s="1"/>
  <c r="E27" i="5"/>
  <c r="M27" i="5"/>
  <c r="M28" i="5"/>
  <c r="D28" i="5" s="1"/>
  <c r="M29" i="5"/>
  <c r="O32" i="5"/>
  <c r="N33" i="5"/>
  <c r="E33" i="5" s="1"/>
  <c r="O33" i="5"/>
  <c r="O34" i="5"/>
  <c r="P34" i="5"/>
  <c r="Q34" i="5"/>
  <c r="E35" i="5"/>
  <c r="O35" i="5"/>
  <c r="P35" i="5"/>
  <c r="Q35" i="5"/>
  <c r="O36" i="5"/>
  <c r="P36" i="5"/>
  <c r="Q36" i="5"/>
  <c r="R36" i="5"/>
  <c r="S36" i="5"/>
  <c r="O37" i="5"/>
  <c r="E37" i="5" s="1"/>
  <c r="P37" i="5"/>
  <c r="Q37" i="5"/>
  <c r="R37" i="5"/>
  <c r="S37" i="5"/>
  <c r="D38" i="5"/>
  <c r="T38" i="5"/>
  <c r="U38" i="5"/>
  <c r="T39" i="5"/>
  <c r="U39" i="5"/>
  <c r="D42" i="5"/>
  <c r="E43" i="5"/>
  <c r="D44" i="5"/>
  <c r="E45" i="5"/>
  <c r="D46" i="5"/>
  <c r="E47" i="5"/>
  <c r="D48" i="5"/>
  <c r="E49" i="5"/>
  <c r="D50" i="5"/>
  <c r="E51" i="5"/>
  <c r="D54" i="5"/>
  <c r="E55" i="5"/>
  <c r="I56" i="5"/>
  <c r="E61" i="5"/>
  <c r="D64" i="5"/>
  <c r="E65" i="5"/>
  <c r="Z5" i="5" l="1"/>
  <c r="V5" i="5"/>
  <c r="N4" i="5"/>
  <c r="N5" i="5" s="1"/>
  <c r="R3" i="5"/>
  <c r="E39" i="5"/>
  <c r="D36" i="5"/>
  <c r="D34" i="5"/>
  <c r="J4" i="5"/>
  <c r="E57" i="5"/>
  <c r="F4" i="5"/>
  <c r="D56" i="5"/>
  <c r="F3" i="5"/>
  <c r="D24" i="5"/>
  <c r="J3" i="5"/>
  <c r="D22" i="5"/>
  <c r="E23" i="5"/>
  <c r="E25" i="5"/>
  <c r="R4" i="5"/>
  <c r="E21" i="5"/>
  <c r="D20" i="5"/>
  <c r="D10" i="5"/>
  <c r="D32" i="5"/>
  <c r="E29" i="5"/>
  <c r="E9" i="5"/>
  <c r="R5" i="5" l="1"/>
  <c r="F5" i="5"/>
  <c r="J5" i="5"/>
  <c r="D66" i="5"/>
  <c r="E66" i="5"/>
  <c r="AL64" i="5"/>
  <c r="AK66" i="5" s="1"/>
  <c r="AI69" i="5" s="1"/>
</calcChain>
</file>

<file path=xl/sharedStrings.xml><?xml version="1.0" encoding="utf-8"?>
<sst xmlns="http://schemas.openxmlformats.org/spreadsheetml/2006/main" count="215" uniqueCount="56">
  <si>
    <t>Tag 1</t>
  </si>
  <si>
    <t>Tag 2</t>
  </si>
  <si>
    <t>Tag 3</t>
  </si>
  <si>
    <t>Tag 4</t>
  </si>
  <si>
    <t>Tag 5</t>
  </si>
  <si>
    <t>Tag 6</t>
  </si>
  <si>
    <t>Tag 7</t>
  </si>
  <si>
    <t>Tag 8</t>
  </si>
  <si>
    <t>Tages - SOLL</t>
  </si>
  <si>
    <t>Tages  -  IST</t>
  </si>
  <si>
    <t>Projektphasen  - Projektschritte</t>
  </si>
  <si>
    <t>Stunden</t>
  </si>
  <si>
    <t>Soll</t>
  </si>
  <si>
    <t>IST</t>
  </si>
  <si>
    <t>Initialisierung</t>
  </si>
  <si>
    <t>Konzept</t>
  </si>
  <si>
    <t>Realisierung</t>
  </si>
  <si>
    <t>Testprotokolle</t>
  </si>
  <si>
    <t>Einführung</t>
  </si>
  <si>
    <t>Abschluss</t>
  </si>
  <si>
    <t>Dokumentation</t>
  </si>
  <si>
    <t>Sitzungsprotokoll Expertenbesuch</t>
  </si>
  <si>
    <t>Arbeitsjournal</t>
  </si>
  <si>
    <t>Termine</t>
  </si>
  <si>
    <t>Expertenbesuch 1 + 2</t>
  </si>
  <si>
    <t>Reserven</t>
  </si>
  <si>
    <t>h</t>
  </si>
  <si>
    <t>eingeplante Reserven</t>
  </si>
  <si>
    <t>Totale Arbeitszeit</t>
  </si>
  <si>
    <t>Abweichung</t>
  </si>
  <si>
    <t xml:space="preserve">Projektphasen </t>
  </si>
  <si>
    <t xml:space="preserve">Meilensteine  = </t>
  </si>
  <si>
    <t>finale Bewertung</t>
  </si>
  <si>
    <t>Lessons Learned</t>
  </si>
  <si>
    <t>Schlussbericht</t>
  </si>
  <si>
    <t>EXE‑Release</t>
  </si>
  <si>
    <t>Abnahmeprotokoll</t>
  </si>
  <si>
    <t>Offene Risitken/Changes transparent Dokumentieren</t>
  </si>
  <si>
    <t>Statusbericht</t>
  </si>
  <si>
    <t>lauffähige Zwischenstand</t>
  </si>
  <si>
    <t>Präsention beim Auftraggeber</t>
  </si>
  <si>
    <t>Freigabe für Umsetzung</t>
  </si>
  <si>
    <t>Teststrategie vorhanden</t>
  </si>
  <si>
    <t>GDD/Lösungskonzept</t>
  </si>
  <si>
    <t>PMP</t>
  </si>
  <si>
    <t>Freigabe durch Auftraggeber</t>
  </si>
  <si>
    <t>Repo eingereicht</t>
  </si>
  <si>
    <t>Risikoliste vorhanden</t>
  </si>
  <si>
    <t>Stakholderliste</t>
  </si>
  <si>
    <t xml:space="preserve"> </t>
  </si>
  <si>
    <t>PIA</t>
  </si>
  <si>
    <t>SOLL Stunden</t>
  </si>
  <si>
    <t>IST Stunden</t>
  </si>
  <si>
    <t>Datum</t>
  </si>
  <si>
    <t>Tätigkeit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</si>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</sst>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i/>
      <sz val="12"/>
      <color theme="1"/>
      <name val="Arial"/>
      <family val="2"/>
    </font>
    <font>
      <b/>
      <i/>
      <sz val="12"/>
      <color theme="0"/>
      <name val="Arial"/>
      <family val="2"/>
    </font>
    <font>
      <b/>
      <i/>
      <sz val="12"/>
      <color theme="1"/>
      <name val="Arial"/>
      <family val="2"/>
    </font>
    <font>
      <b/>
      <sz val="12"/>
      <color theme="0"/>
      <name val="Arial"/>
      <family val="2"/>
    </font>
    <font>
      <b/>
      <sz val="14"/>
      <color theme="1"/>
      <name val="Arial"/>
      <family val="2"/>
    </font>
    <font>
      <sz val="12"/>
      <color theme="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sz val="10"/>
      <color theme="1"/>
      <name val="Arial"/>
      <family val="2"/>
    </font>
    <font>
      <sz val="14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D5E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theme="0" tint="-0.34998626667073579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theme="0"/>
      </top>
      <bottom/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thick">
        <color theme="0"/>
      </left>
      <right style="thin">
        <color theme="0"/>
      </right>
      <top style="medium">
        <color theme="0"/>
      </top>
      <bottom/>
      <diagonal/>
    </border>
    <border>
      <left style="thick">
        <color theme="0"/>
      </left>
      <right style="thin">
        <color theme="0"/>
      </right>
      <top/>
      <bottom style="medium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n">
        <color theme="0"/>
      </left>
      <right/>
      <top/>
      <bottom style="medium">
        <color theme="0"/>
      </bottom>
      <diagonal/>
    </border>
    <border>
      <left style="thin">
        <color theme="0"/>
      </left>
      <right/>
      <top style="medium">
        <color theme="0"/>
      </top>
      <bottom/>
      <diagonal/>
    </border>
    <border>
      <left style="thick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ck">
        <color theme="0"/>
      </right>
      <top/>
      <bottom style="thin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ck">
        <color theme="0"/>
      </right>
      <top style="thin">
        <color theme="0"/>
      </top>
      <bottom/>
      <diagonal/>
    </border>
    <border>
      <left/>
      <right style="thick">
        <color theme="0"/>
      </right>
      <top style="medium">
        <color theme="0"/>
      </top>
      <bottom/>
      <diagonal/>
    </border>
    <border>
      <left/>
      <right style="thick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thick">
        <color theme="0"/>
      </right>
      <top style="medium">
        <color theme="0"/>
      </top>
      <bottom/>
      <diagonal/>
    </border>
    <border>
      <left/>
      <right style="thick">
        <color rgb="FFFF0000"/>
      </right>
      <top/>
      <bottom/>
      <diagonal/>
    </border>
    <border>
      <left style="thick">
        <color theme="0"/>
      </left>
      <right/>
      <top style="thick">
        <color theme="0"/>
      </top>
      <bottom style="medium">
        <color theme="0"/>
      </bottom>
      <diagonal/>
    </border>
    <border>
      <left/>
      <right/>
      <top style="thick">
        <color theme="0"/>
      </top>
      <bottom style="medium">
        <color theme="0"/>
      </bottom>
      <diagonal/>
    </border>
    <border>
      <left/>
      <right style="thick">
        <color theme="0"/>
      </right>
      <top style="thick">
        <color theme="0"/>
      </top>
      <bottom style="medium">
        <color theme="0"/>
      </bottom>
      <diagonal/>
    </border>
    <border>
      <left style="thick">
        <color rgb="FFFF0000"/>
      </left>
      <right/>
      <top style="medium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ck">
        <color theme="0"/>
      </left>
      <right style="thin">
        <color theme="0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0">
    <xf numFmtId="0" fontId="0" fillId="0" borderId="0" xfId="0"/>
    <xf numFmtId="2" fontId="1" fillId="9" borderId="15" xfId="0" applyNumberFormat="1" applyFont="1" applyFill="1" applyBorder="1" applyAlignment="1">
      <alignment horizontal="center" vertical="center"/>
    </xf>
    <xf numFmtId="2" fontId="1" fillId="9" borderId="16" xfId="0" applyNumberFormat="1" applyFont="1" applyFill="1" applyBorder="1" applyAlignment="1">
      <alignment horizontal="center" vertical="center"/>
    </xf>
    <xf numFmtId="2" fontId="2" fillId="9" borderId="16" xfId="0" applyNumberFormat="1" applyFont="1" applyFill="1" applyBorder="1" applyAlignment="1">
      <alignment horizontal="center" vertical="center"/>
    </xf>
    <xf numFmtId="2" fontId="2" fillId="9" borderId="17" xfId="0" applyNumberFormat="1" applyFont="1" applyFill="1" applyBorder="1" applyAlignment="1">
      <alignment horizontal="center" vertical="center"/>
    </xf>
    <xf numFmtId="2" fontId="1" fillId="12" borderId="15" xfId="0" applyNumberFormat="1" applyFont="1" applyFill="1" applyBorder="1" applyAlignment="1">
      <alignment horizontal="center" vertical="center"/>
    </xf>
    <xf numFmtId="2" fontId="1" fillId="12" borderId="16" xfId="0" applyNumberFormat="1" applyFont="1" applyFill="1" applyBorder="1" applyAlignment="1">
      <alignment horizontal="center" vertical="center"/>
    </xf>
    <xf numFmtId="2" fontId="2" fillId="12" borderId="16" xfId="0" applyNumberFormat="1" applyFont="1" applyFill="1" applyBorder="1" applyAlignment="1">
      <alignment horizontal="center" vertical="center"/>
    </xf>
    <xf numFmtId="2" fontId="2" fillId="12" borderId="17" xfId="0" applyNumberFormat="1" applyFont="1" applyFill="1" applyBorder="1" applyAlignment="1">
      <alignment horizontal="center" vertical="center"/>
    </xf>
    <xf numFmtId="2" fontId="2" fillId="9" borderId="18" xfId="0" applyNumberFormat="1" applyFont="1" applyFill="1" applyBorder="1" applyAlignment="1">
      <alignment horizontal="center" vertical="center"/>
    </xf>
    <xf numFmtId="2" fontId="2" fillId="12" borderId="19" xfId="0" applyNumberFormat="1" applyFont="1" applyFill="1" applyBorder="1" applyAlignment="1">
      <alignment horizontal="center" vertical="center"/>
    </xf>
    <xf numFmtId="2" fontId="2" fillId="12" borderId="20" xfId="0" applyNumberFormat="1" applyFont="1" applyFill="1" applyBorder="1" applyAlignment="1">
      <alignment horizontal="center" vertical="center"/>
    </xf>
    <xf numFmtId="2" fontId="2" fillId="12" borderId="18" xfId="0" applyNumberFormat="1" applyFont="1" applyFill="1" applyBorder="1" applyAlignment="1">
      <alignment horizontal="center" vertical="center"/>
    </xf>
    <xf numFmtId="2" fontId="2" fillId="9" borderId="19" xfId="0" applyNumberFormat="1" applyFont="1" applyFill="1" applyBorder="1" applyAlignment="1">
      <alignment horizontal="center" vertical="center"/>
    </xf>
    <xf numFmtId="2" fontId="3" fillId="9" borderId="19" xfId="0" applyNumberFormat="1" applyFont="1" applyFill="1" applyBorder="1" applyAlignment="1">
      <alignment horizontal="center" vertical="center"/>
    </xf>
    <xf numFmtId="2" fontId="3" fillId="12" borderId="19" xfId="0" applyNumberFormat="1" applyFont="1" applyFill="1" applyBorder="1" applyAlignment="1">
      <alignment horizontal="center" vertical="center"/>
    </xf>
    <xf numFmtId="2" fontId="2" fillId="4" borderId="18" xfId="0" applyNumberFormat="1" applyFont="1" applyFill="1" applyBorder="1" applyAlignment="1">
      <alignment horizontal="center" vertical="center"/>
    </xf>
    <xf numFmtId="2" fontId="2" fillId="4" borderId="19" xfId="0" applyNumberFormat="1" applyFont="1" applyFill="1" applyBorder="1" applyAlignment="1">
      <alignment horizontal="center" vertical="center"/>
    </xf>
    <xf numFmtId="2" fontId="2" fillId="4" borderId="20" xfId="0" applyNumberFormat="1" applyFont="1" applyFill="1" applyBorder="1" applyAlignment="1">
      <alignment horizontal="center" vertical="center"/>
    </xf>
    <xf numFmtId="2" fontId="2" fillId="11" borderId="18" xfId="0" applyNumberFormat="1" applyFont="1" applyFill="1" applyBorder="1" applyAlignment="1">
      <alignment horizontal="center" vertical="center"/>
    </xf>
    <xf numFmtId="2" fontId="2" fillId="11" borderId="19" xfId="0" applyNumberFormat="1" applyFont="1" applyFill="1" applyBorder="1" applyAlignment="1">
      <alignment horizontal="center" vertical="center"/>
    </xf>
    <xf numFmtId="2" fontId="2" fillId="11" borderId="20" xfId="0" applyNumberFormat="1" applyFont="1" applyFill="1" applyBorder="1" applyAlignment="1">
      <alignment horizontal="center" vertical="center"/>
    </xf>
    <xf numFmtId="2" fontId="2" fillId="7" borderId="18" xfId="0" applyNumberFormat="1" applyFont="1" applyFill="1" applyBorder="1" applyAlignment="1">
      <alignment horizontal="center" vertical="center"/>
    </xf>
    <xf numFmtId="2" fontId="2" fillId="7" borderId="19" xfId="0" applyNumberFormat="1" applyFont="1" applyFill="1" applyBorder="1" applyAlignment="1">
      <alignment horizontal="center" vertical="center"/>
    </xf>
    <xf numFmtId="2" fontId="2" fillId="7" borderId="20" xfId="0" applyNumberFormat="1" applyFont="1" applyFill="1" applyBorder="1" applyAlignment="1">
      <alignment horizontal="center" vertical="center"/>
    </xf>
    <xf numFmtId="2" fontId="2" fillId="10" borderId="19" xfId="0" applyNumberFormat="1" applyFont="1" applyFill="1" applyBorder="1" applyAlignment="1">
      <alignment horizontal="center" vertical="center"/>
    </xf>
    <xf numFmtId="2" fontId="2" fillId="13" borderId="20" xfId="0" applyNumberFormat="1" applyFont="1" applyFill="1" applyBorder="1" applyAlignment="1">
      <alignment horizontal="center" vertical="center"/>
    </xf>
    <xf numFmtId="2" fontId="2" fillId="6" borderId="20" xfId="0" applyNumberFormat="1" applyFont="1" applyFill="1" applyBorder="1" applyAlignment="1">
      <alignment horizontal="center" vertical="center"/>
    </xf>
    <xf numFmtId="2" fontId="2" fillId="12" borderId="21" xfId="0" applyNumberFormat="1" applyFont="1" applyFill="1" applyBorder="1" applyAlignment="1">
      <alignment horizontal="center" vertical="center"/>
    </xf>
    <xf numFmtId="2" fontId="2" fillId="12" borderId="22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/>
    <xf numFmtId="20" fontId="4" fillId="0" borderId="0" xfId="0" applyNumberFormat="1" applyFont="1" applyAlignment="1">
      <alignment horizontal="center" vertical="center"/>
    </xf>
    <xf numFmtId="0" fontId="5" fillId="8" borderId="11" xfId="0" applyFont="1" applyFill="1" applyBorder="1" applyAlignment="1">
      <alignment horizontal="center"/>
    </xf>
    <xf numFmtId="0" fontId="6" fillId="8" borderId="11" xfId="0" applyFont="1" applyFill="1" applyBorder="1"/>
    <xf numFmtId="0" fontId="6" fillId="8" borderId="10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5" fillId="8" borderId="0" xfId="0" applyFont="1" applyFill="1"/>
    <xf numFmtId="0" fontId="7" fillId="8" borderId="0" xfId="0" applyFont="1" applyFill="1" applyAlignment="1">
      <alignment vertical="center"/>
    </xf>
    <xf numFmtId="0" fontId="5" fillId="8" borderId="3" xfId="0" applyFont="1" applyFill="1" applyBorder="1"/>
    <xf numFmtId="2" fontId="7" fillId="8" borderId="6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8" fillId="4" borderId="0" xfId="0" applyFont="1" applyFill="1" applyAlignment="1">
      <alignment horizontal="left"/>
    </xf>
    <xf numFmtId="2" fontId="9" fillId="4" borderId="6" xfId="0" applyNumberFormat="1" applyFont="1" applyFill="1" applyBorder="1"/>
    <xf numFmtId="2" fontId="9" fillId="4" borderId="13" xfId="0" applyNumberFormat="1" applyFont="1" applyFill="1" applyBorder="1"/>
    <xf numFmtId="2" fontId="2" fillId="0" borderId="0" xfId="0" applyNumberFormat="1" applyFont="1"/>
    <xf numFmtId="2" fontId="11" fillId="4" borderId="5" xfId="0" applyNumberFormat="1" applyFont="1" applyFill="1" applyBorder="1"/>
    <xf numFmtId="2" fontId="11" fillId="4" borderId="14" xfId="0" applyNumberFormat="1" applyFont="1" applyFill="1" applyBorder="1"/>
    <xf numFmtId="2" fontId="11" fillId="4" borderId="6" xfId="0" applyNumberFormat="1" applyFont="1" applyFill="1" applyBorder="1"/>
    <xf numFmtId="2" fontId="11" fillId="4" borderId="13" xfId="0" applyNumberFormat="1" applyFont="1" applyFill="1" applyBorder="1"/>
    <xf numFmtId="0" fontId="12" fillId="4" borderId="0" xfId="0" applyFont="1" applyFill="1" applyAlignment="1">
      <alignment vertical="center" wrapText="1"/>
    </xf>
    <xf numFmtId="0" fontId="11" fillId="4" borderId="0" xfId="0" applyFont="1" applyFill="1" applyAlignment="1">
      <alignment vertical="center" wrapText="1"/>
    </xf>
    <xf numFmtId="2" fontId="11" fillId="4" borderId="1" xfId="0" applyNumberFormat="1" applyFont="1" applyFill="1" applyBorder="1"/>
    <xf numFmtId="0" fontId="8" fillId="4" borderId="3" xfId="0" applyFont="1" applyFill="1" applyBorder="1" applyAlignment="1">
      <alignment horizontal="left"/>
    </xf>
    <xf numFmtId="2" fontId="11" fillId="4" borderId="4" xfId="0" applyNumberFormat="1" applyFont="1" applyFill="1" applyBorder="1"/>
    <xf numFmtId="2" fontId="11" fillId="4" borderId="2" xfId="0" applyNumberFormat="1" applyFont="1" applyFill="1" applyBorder="1"/>
    <xf numFmtId="0" fontId="12" fillId="4" borderId="3" xfId="0" applyFont="1" applyFill="1" applyBorder="1" applyAlignment="1">
      <alignment vertical="center" wrapText="1"/>
    </xf>
    <xf numFmtId="0" fontId="13" fillId="4" borderId="3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2" fontId="14" fillId="3" borderId="12" xfId="0" applyNumberFormat="1" applyFont="1" applyFill="1" applyBorder="1"/>
    <xf numFmtId="2" fontId="15" fillId="3" borderId="11" xfId="0" applyNumberFormat="1" applyFont="1" applyFill="1" applyBorder="1"/>
    <xf numFmtId="0" fontId="15" fillId="3" borderId="10" xfId="0" applyFont="1" applyFill="1" applyBorder="1"/>
    <xf numFmtId="2" fontId="15" fillId="3" borderId="0" xfId="0" applyNumberFormat="1" applyFont="1" applyFill="1"/>
    <xf numFmtId="0" fontId="15" fillId="3" borderId="0" xfId="0" applyFont="1" applyFill="1"/>
    <xf numFmtId="0" fontId="8" fillId="4" borderId="0" xfId="0" applyFont="1" applyFill="1"/>
    <xf numFmtId="2" fontId="11" fillId="4" borderId="28" xfId="0" applyNumberFormat="1" applyFont="1" applyFill="1" applyBorder="1"/>
    <xf numFmtId="0" fontId="14" fillId="3" borderId="0" xfId="0" applyFont="1" applyFill="1" applyAlignment="1">
      <alignment horizontal="center"/>
    </xf>
    <xf numFmtId="2" fontId="14" fillId="3" borderId="0" xfId="0" applyNumberFormat="1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12" fillId="0" borderId="0" xfId="0" applyFont="1"/>
    <xf numFmtId="0" fontId="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2" fontId="11" fillId="0" borderId="0" xfId="0" applyNumberFormat="1" applyFont="1"/>
    <xf numFmtId="2" fontId="11" fillId="0" borderId="29" xfId="0" applyNumberFormat="1" applyFont="1" applyBorder="1"/>
    <xf numFmtId="0" fontId="2" fillId="0" borderId="29" xfId="0" applyFont="1" applyBorder="1" applyAlignment="1">
      <alignment horizontal="left" vertical="center"/>
    </xf>
    <xf numFmtId="0" fontId="2" fillId="0" borderId="29" xfId="0" applyFont="1" applyBorder="1" applyAlignment="1">
      <alignment horizontal="left"/>
    </xf>
    <xf numFmtId="0" fontId="16" fillId="0" borderId="29" xfId="0" applyFont="1" applyBorder="1" applyAlignment="1">
      <alignment horizontal="left"/>
    </xf>
    <xf numFmtId="0" fontId="1" fillId="0" borderId="7" xfId="0" applyFont="1" applyBorder="1"/>
    <xf numFmtId="0" fontId="2" fillId="0" borderId="7" xfId="0" applyFont="1" applyBorder="1"/>
    <xf numFmtId="2" fontId="2" fillId="15" borderId="18" xfId="0" applyNumberFormat="1" applyFont="1" applyFill="1" applyBorder="1" applyAlignment="1">
      <alignment horizontal="center" vertical="center"/>
    </xf>
    <xf numFmtId="2" fontId="2" fillId="15" borderId="19" xfId="0" applyNumberFormat="1" applyFont="1" applyFill="1" applyBorder="1" applyAlignment="1">
      <alignment horizontal="center" vertical="center"/>
    </xf>
    <xf numFmtId="2" fontId="3" fillId="15" borderId="19" xfId="0" applyNumberFormat="1" applyFont="1" applyFill="1" applyBorder="1" applyAlignment="1">
      <alignment horizontal="center" vertical="center"/>
    </xf>
    <xf numFmtId="2" fontId="2" fillId="15" borderId="20" xfId="0" applyNumberFormat="1" applyFont="1" applyFill="1" applyBorder="1" applyAlignment="1">
      <alignment horizontal="center" vertical="center"/>
    </xf>
    <xf numFmtId="2" fontId="2" fillId="15" borderId="23" xfId="0" applyNumberFormat="1" applyFont="1" applyFill="1" applyBorder="1" applyAlignment="1">
      <alignment horizontal="center" vertical="center"/>
    </xf>
    <xf numFmtId="2" fontId="2" fillId="16" borderId="19" xfId="0" applyNumberFormat="1" applyFont="1" applyFill="1" applyBorder="1" applyAlignment="1">
      <alignment horizontal="center" vertical="center"/>
    </xf>
    <xf numFmtId="2" fontId="11" fillId="4" borderId="34" xfId="0" applyNumberFormat="1" applyFont="1" applyFill="1" applyBorder="1"/>
    <xf numFmtId="2" fontId="11" fillId="4" borderId="35" xfId="0" applyNumberFormat="1" applyFont="1" applyFill="1" applyBorder="1"/>
    <xf numFmtId="2" fontId="2" fillId="16" borderId="18" xfId="0" applyNumberFormat="1" applyFont="1" applyFill="1" applyBorder="1" applyAlignment="1">
      <alignment horizontal="center" vertical="center"/>
    </xf>
    <xf numFmtId="2" fontId="2" fillId="16" borderId="20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2" fontId="0" fillId="6" borderId="37" xfId="0" applyNumberFormat="1" applyFill="1" applyBorder="1" applyAlignment="1">
      <alignment horizontal="center" vertical="center"/>
    </xf>
    <xf numFmtId="0" fontId="0" fillId="6" borderId="37" xfId="0" applyFill="1" applyBorder="1"/>
    <xf numFmtId="0" fontId="0" fillId="6" borderId="38" xfId="0" applyFill="1" applyBorder="1"/>
    <xf numFmtId="0" fontId="0" fillId="6" borderId="39" xfId="0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2" fontId="0" fillId="6" borderId="40" xfId="0" applyNumberFormat="1" applyFill="1" applyBorder="1" applyAlignment="1">
      <alignment horizontal="center" vertical="center"/>
    </xf>
    <xf numFmtId="0" fontId="0" fillId="6" borderId="40" xfId="0" applyFill="1" applyBorder="1"/>
    <xf numFmtId="0" fontId="0" fillId="6" borderId="41" xfId="0" applyFill="1" applyBorder="1"/>
    <xf numFmtId="0" fontId="0" fillId="17" borderId="45" xfId="0" applyFill="1" applyBorder="1" applyAlignment="1">
      <alignment horizontal="center" vertical="center"/>
    </xf>
    <xf numFmtId="0" fontId="0" fillId="17" borderId="46" xfId="0" applyFill="1" applyBorder="1" applyAlignment="1">
      <alignment horizontal="center" vertical="center"/>
    </xf>
    <xf numFmtId="2" fontId="0" fillId="17" borderId="46" xfId="0" applyNumberFormat="1" applyFill="1" applyBorder="1" applyAlignment="1">
      <alignment horizontal="center" vertical="center"/>
    </xf>
    <xf numFmtId="14" fontId="0" fillId="17" borderId="46" xfId="0" applyNumberFormat="1" applyFill="1" applyBorder="1"/>
    <xf numFmtId="0" fontId="0" fillId="17" borderId="47" xfId="0" applyFill="1" applyBorder="1"/>
    <xf numFmtId="0" fontId="0" fillId="17" borderId="48" xfId="0" applyFill="1" applyBorder="1" applyAlignment="1">
      <alignment horizontal="center" vertical="center"/>
    </xf>
    <xf numFmtId="0" fontId="0" fillId="17" borderId="49" xfId="0" applyFill="1" applyBorder="1" applyAlignment="1">
      <alignment horizontal="center" vertical="center"/>
    </xf>
    <xf numFmtId="2" fontId="0" fillId="17" borderId="49" xfId="0" applyNumberFormat="1" applyFill="1" applyBorder="1" applyAlignment="1">
      <alignment horizontal="center" vertical="center"/>
    </xf>
    <xf numFmtId="14" fontId="0" fillId="17" borderId="49" xfId="0" applyNumberFormat="1" applyFill="1" applyBorder="1"/>
    <xf numFmtId="0" fontId="0" fillId="17" borderId="50" xfId="0" applyFill="1" applyBorder="1"/>
    <xf numFmtId="0" fontId="0" fillId="17" borderId="39" xfId="0" applyFill="1" applyBorder="1" applyAlignment="1">
      <alignment horizontal="center" vertical="center"/>
    </xf>
    <xf numFmtId="0" fontId="0" fillId="17" borderId="40" xfId="0" applyFill="1" applyBorder="1" applyAlignment="1">
      <alignment horizontal="center" vertical="center"/>
    </xf>
    <xf numFmtId="2" fontId="0" fillId="17" borderId="40" xfId="0" applyNumberFormat="1" applyFill="1" applyBorder="1" applyAlignment="1">
      <alignment horizontal="center" vertical="center"/>
    </xf>
    <xf numFmtId="0" fontId="0" fillId="17" borderId="40" xfId="0" applyFill="1" applyBorder="1"/>
    <xf numFmtId="0" fontId="0" fillId="17" borderId="41" xfId="0" applyFill="1" applyBorder="1"/>
    <xf numFmtId="0" fontId="0" fillId="16" borderId="45" xfId="0" applyFill="1" applyBorder="1" applyAlignment="1">
      <alignment horizontal="center" vertical="center"/>
    </xf>
    <xf numFmtId="0" fontId="0" fillId="16" borderId="46" xfId="0" applyFill="1" applyBorder="1" applyAlignment="1">
      <alignment horizontal="center" vertical="center"/>
    </xf>
    <xf numFmtId="2" fontId="0" fillId="16" borderId="46" xfId="0" applyNumberFormat="1" applyFill="1" applyBorder="1" applyAlignment="1">
      <alignment horizontal="center" vertical="center"/>
    </xf>
    <xf numFmtId="14" fontId="0" fillId="16" borderId="46" xfId="0" applyNumberFormat="1" applyFill="1" applyBorder="1"/>
    <xf numFmtId="0" fontId="0" fillId="16" borderId="47" xfId="0" applyFill="1" applyBorder="1"/>
    <xf numFmtId="0" fontId="0" fillId="16" borderId="48" xfId="0" applyFill="1" applyBorder="1" applyAlignment="1">
      <alignment horizontal="center" vertical="center"/>
    </xf>
    <xf numFmtId="0" fontId="0" fillId="16" borderId="49" xfId="0" applyFill="1" applyBorder="1" applyAlignment="1">
      <alignment horizontal="center" vertical="center"/>
    </xf>
    <xf numFmtId="2" fontId="0" fillId="16" borderId="49" xfId="0" applyNumberFormat="1" applyFill="1" applyBorder="1" applyAlignment="1">
      <alignment horizontal="center" vertical="center"/>
    </xf>
    <xf numFmtId="14" fontId="0" fillId="16" borderId="49" xfId="0" applyNumberFormat="1" applyFill="1" applyBorder="1"/>
    <xf numFmtId="0" fontId="0" fillId="16" borderId="50" xfId="0" applyFill="1" applyBorder="1"/>
    <xf numFmtId="0" fontId="0" fillId="16" borderId="39" xfId="0" applyFill="1" applyBorder="1" applyAlignment="1">
      <alignment horizontal="center" vertical="center"/>
    </xf>
    <xf numFmtId="0" fontId="0" fillId="16" borderId="40" xfId="0" applyFill="1" applyBorder="1" applyAlignment="1">
      <alignment horizontal="center" vertical="center"/>
    </xf>
    <xf numFmtId="2" fontId="0" fillId="16" borderId="40" xfId="0" applyNumberFormat="1" applyFill="1" applyBorder="1" applyAlignment="1">
      <alignment horizontal="center" vertical="center"/>
    </xf>
    <xf numFmtId="14" fontId="0" fillId="16" borderId="40" xfId="0" applyNumberFormat="1" applyFill="1" applyBorder="1"/>
    <xf numFmtId="0" fontId="0" fillId="16" borderId="41" xfId="0" applyFill="1" applyBorder="1"/>
    <xf numFmtId="0" fontId="0" fillId="7" borderId="45" xfId="0" applyFill="1" applyBorder="1" applyAlignment="1">
      <alignment horizontal="center" vertical="center"/>
    </xf>
    <xf numFmtId="0" fontId="0" fillId="7" borderId="46" xfId="0" applyFill="1" applyBorder="1" applyAlignment="1">
      <alignment horizontal="center" vertical="center"/>
    </xf>
    <xf numFmtId="2" fontId="0" fillId="7" borderId="46" xfId="0" applyNumberFormat="1" applyFill="1" applyBorder="1" applyAlignment="1">
      <alignment horizontal="center" vertical="center"/>
    </xf>
    <xf numFmtId="14" fontId="0" fillId="7" borderId="46" xfId="0" applyNumberFormat="1" applyFill="1" applyBorder="1"/>
    <xf numFmtId="0" fontId="0" fillId="7" borderId="47" xfId="0" applyFill="1" applyBorder="1"/>
    <xf numFmtId="0" fontId="0" fillId="7" borderId="48" xfId="0" applyFill="1" applyBorder="1" applyAlignment="1">
      <alignment horizontal="center" vertical="center"/>
    </xf>
    <xf numFmtId="0" fontId="0" fillId="7" borderId="49" xfId="0" applyFill="1" applyBorder="1" applyAlignment="1">
      <alignment horizontal="center" vertical="center"/>
    </xf>
    <xf numFmtId="2" fontId="0" fillId="7" borderId="49" xfId="0" applyNumberFormat="1" applyFill="1" applyBorder="1" applyAlignment="1">
      <alignment horizontal="center" vertical="center"/>
    </xf>
    <xf numFmtId="14" fontId="0" fillId="7" borderId="49" xfId="0" applyNumberFormat="1" applyFill="1" applyBorder="1"/>
    <xf numFmtId="0" fontId="0" fillId="7" borderId="50" xfId="0" applyFill="1" applyBorder="1"/>
    <xf numFmtId="0" fontId="0" fillId="7" borderId="39" xfId="0" applyFill="1" applyBorder="1" applyAlignment="1">
      <alignment horizontal="center" vertical="center"/>
    </xf>
    <xf numFmtId="0" fontId="0" fillId="7" borderId="40" xfId="0" applyFill="1" applyBorder="1" applyAlignment="1">
      <alignment horizontal="center" vertical="center"/>
    </xf>
    <xf numFmtId="2" fontId="0" fillId="7" borderId="40" xfId="0" applyNumberFormat="1" applyFill="1" applyBorder="1" applyAlignment="1">
      <alignment horizontal="center" vertical="center"/>
    </xf>
    <xf numFmtId="14" fontId="0" fillId="7" borderId="40" xfId="0" applyNumberFormat="1" applyFill="1" applyBorder="1"/>
    <xf numFmtId="0" fontId="0" fillId="7" borderId="41" xfId="0" applyFill="1" applyBorder="1"/>
    <xf numFmtId="2" fontId="0" fillId="11" borderId="46" xfId="0" applyNumberFormat="1" applyFill="1" applyBorder="1" applyAlignment="1">
      <alignment horizontal="center" vertical="center"/>
    </xf>
    <xf numFmtId="14" fontId="0" fillId="11" borderId="46" xfId="0" applyNumberFormat="1" applyFill="1" applyBorder="1"/>
    <xf numFmtId="0" fontId="0" fillId="11" borderId="47" xfId="0" applyFill="1" applyBorder="1"/>
    <xf numFmtId="2" fontId="0" fillId="11" borderId="49" xfId="0" applyNumberFormat="1" applyFill="1" applyBorder="1" applyAlignment="1">
      <alignment horizontal="center" vertical="center"/>
    </xf>
    <xf numFmtId="14" fontId="0" fillId="11" borderId="49" xfId="0" applyNumberFormat="1" applyFill="1" applyBorder="1"/>
    <xf numFmtId="0" fontId="0" fillId="11" borderId="50" xfId="0" applyFill="1" applyBorder="1"/>
    <xf numFmtId="2" fontId="0" fillId="11" borderId="40" xfId="0" applyNumberFormat="1" applyFill="1" applyBorder="1" applyAlignment="1">
      <alignment horizontal="center" vertical="center"/>
    </xf>
    <xf numFmtId="14" fontId="0" fillId="11" borderId="40" xfId="0" applyNumberFormat="1" applyFill="1" applyBorder="1"/>
    <xf numFmtId="0" fontId="0" fillId="11" borderId="41" xfId="0" applyFill="1" applyBorder="1"/>
    <xf numFmtId="0" fontId="0" fillId="9" borderId="36" xfId="0" applyFill="1" applyBorder="1" applyAlignment="1">
      <alignment horizontal="center" vertical="center"/>
    </xf>
    <xf numFmtId="0" fontId="0" fillId="9" borderId="37" xfId="0" applyFill="1" applyBorder="1" applyAlignment="1">
      <alignment horizontal="center" vertical="center"/>
    </xf>
    <xf numFmtId="2" fontId="0" fillId="9" borderId="37" xfId="0" applyNumberFormat="1" applyFill="1" applyBorder="1" applyAlignment="1">
      <alignment horizontal="center" vertical="center"/>
    </xf>
    <xf numFmtId="2" fontId="0" fillId="9" borderId="54" xfId="0" applyNumberFormat="1" applyFill="1" applyBorder="1" applyAlignment="1">
      <alignment horizontal="center" vertical="center"/>
    </xf>
    <xf numFmtId="14" fontId="0" fillId="9" borderId="37" xfId="0" applyNumberFormat="1" applyFill="1" applyBorder="1"/>
    <xf numFmtId="0" fontId="0" fillId="9" borderId="38" xfId="0" applyFill="1" applyBorder="1"/>
    <xf numFmtId="0" fontId="0" fillId="9" borderId="48" xfId="0" applyFill="1" applyBorder="1" applyAlignment="1">
      <alignment horizontal="center" vertical="center"/>
    </xf>
    <xf numFmtId="0" fontId="0" fillId="9" borderId="49" xfId="0" applyFill="1" applyBorder="1" applyAlignment="1">
      <alignment horizontal="center" vertical="center"/>
    </xf>
    <xf numFmtId="2" fontId="0" fillId="9" borderId="49" xfId="0" applyNumberFormat="1" applyFill="1" applyBorder="1" applyAlignment="1">
      <alignment horizontal="center" vertical="center"/>
    </xf>
    <xf numFmtId="2" fontId="0" fillId="9" borderId="40" xfId="0" applyNumberFormat="1" applyFill="1" applyBorder="1" applyAlignment="1">
      <alignment horizontal="center" vertical="center"/>
    </xf>
    <xf numFmtId="14" fontId="0" fillId="9" borderId="49" xfId="0" applyNumberFormat="1" applyFill="1" applyBorder="1"/>
    <xf numFmtId="0" fontId="0" fillId="9" borderId="50" xfId="0" applyFill="1" applyBorder="1"/>
    <xf numFmtId="0" fontId="0" fillId="9" borderId="55" xfId="0" applyFill="1" applyBorder="1" applyAlignment="1">
      <alignment horizontal="center" vertical="center"/>
    </xf>
    <xf numFmtId="0" fontId="0" fillId="9" borderId="56" xfId="0" applyFill="1" applyBorder="1" applyAlignment="1">
      <alignment horizontal="center" vertical="center"/>
    </xf>
    <xf numFmtId="2" fontId="0" fillId="9" borderId="56" xfId="0" applyNumberFormat="1" applyFill="1" applyBorder="1" applyAlignment="1">
      <alignment horizontal="center" vertical="center"/>
    </xf>
    <xf numFmtId="14" fontId="0" fillId="9" borderId="56" xfId="0" applyNumberFormat="1" applyFill="1" applyBorder="1"/>
    <xf numFmtId="0" fontId="0" fillId="9" borderId="57" xfId="0" applyFill="1" applyBorder="1"/>
    <xf numFmtId="0" fontId="17" fillId="0" borderId="0" xfId="0" applyFont="1"/>
    <xf numFmtId="0" fontId="17" fillId="5" borderId="51" xfId="0" applyFont="1" applyFill="1" applyBorder="1"/>
    <xf numFmtId="0" fontId="17" fillId="5" borderId="52" xfId="0" applyFont="1" applyFill="1" applyBorder="1"/>
    <xf numFmtId="2" fontId="17" fillId="5" borderId="52" xfId="0" applyNumberFormat="1" applyFont="1" applyFill="1" applyBorder="1" applyAlignment="1">
      <alignment horizontal="center" vertical="center"/>
    </xf>
    <xf numFmtId="0" fontId="17" fillId="5" borderId="53" xfId="0" applyFont="1" applyFill="1" applyBorder="1"/>
    <xf numFmtId="2" fontId="0" fillId="6" borderId="36" xfId="0" applyNumberFormat="1" applyFill="1" applyBorder="1" applyAlignment="1">
      <alignment horizontal="center" vertical="center"/>
    </xf>
    <xf numFmtId="2" fontId="0" fillId="11" borderId="48" xfId="0" applyNumberFormat="1" applyFill="1" applyBorder="1" applyAlignment="1">
      <alignment horizontal="center" vertical="center"/>
    </xf>
    <xf numFmtId="2" fontId="0" fillId="9" borderId="36" xfId="0" applyNumberFormat="1" applyFill="1" applyBorder="1" applyAlignment="1">
      <alignment horizontal="center" vertical="center"/>
    </xf>
    <xf numFmtId="2" fontId="0" fillId="9" borderId="48" xfId="0" applyNumberFormat="1" applyFill="1" applyBorder="1" applyAlignment="1">
      <alignment horizontal="center" vertical="center"/>
    </xf>
    <xf numFmtId="2" fontId="0" fillId="9" borderId="39" xfId="0" applyNumberFormat="1" applyFill="1" applyBorder="1" applyAlignment="1">
      <alignment horizontal="center" vertical="center"/>
    </xf>
    <xf numFmtId="14" fontId="0" fillId="9" borderId="40" xfId="0" applyNumberFormat="1" applyFill="1" applyBorder="1"/>
    <xf numFmtId="0" fontId="0" fillId="9" borderId="41" xfId="0" applyFill="1" applyBorder="1"/>
    <xf numFmtId="0" fontId="0" fillId="9" borderId="54" xfId="0" applyFill="1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2" fontId="0" fillId="11" borderId="39" xfId="0" applyNumberFormat="1" applyFill="1" applyBorder="1" applyAlignment="1">
      <alignment horizontal="center" vertical="center"/>
    </xf>
    <xf numFmtId="2" fontId="0" fillId="11" borderId="45" xfId="0" applyNumberFormat="1" applyFill="1" applyBorder="1" applyAlignment="1">
      <alignment horizontal="center" vertical="center"/>
    </xf>
    <xf numFmtId="2" fontId="0" fillId="6" borderId="39" xfId="0" applyNumberFormat="1" applyFill="1" applyBorder="1" applyAlignment="1">
      <alignment horizontal="center" vertical="center"/>
    </xf>
    <xf numFmtId="0" fontId="17" fillId="7" borderId="53" xfId="0" applyFont="1" applyFill="1" applyBorder="1" applyAlignment="1">
      <alignment horizontal="center"/>
    </xf>
    <xf numFmtId="0" fontId="17" fillId="7" borderId="52" xfId="0" applyFont="1" applyFill="1" applyBorder="1" applyAlignment="1">
      <alignment horizontal="center"/>
    </xf>
    <xf numFmtId="0" fontId="17" fillId="7" borderId="51" xfId="0" applyFont="1" applyFill="1" applyBorder="1" applyAlignment="1">
      <alignment horizontal="center"/>
    </xf>
    <xf numFmtId="0" fontId="17" fillId="16" borderId="53" xfId="0" applyFont="1" applyFill="1" applyBorder="1" applyAlignment="1">
      <alignment horizontal="center"/>
    </xf>
    <xf numFmtId="0" fontId="17" fillId="16" borderId="52" xfId="0" applyFont="1" applyFill="1" applyBorder="1" applyAlignment="1">
      <alignment horizontal="center"/>
    </xf>
    <xf numFmtId="0" fontId="17" fillId="16" borderId="51" xfId="0" applyFont="1" applyFill="1" applyBorder="1" applyAlignment="1">
      <alignment horizontal="center"/>
    </xf>
    <xf numFmtId="0" fontId="17" fillId="17" borderId="53" xfId="0" applyFont="1" applyFill="1" applyBorder="1" applyAlignment="1">
      <alignment horizontal="center"/>
    </xf>
    <xf numFmtId="0" fontId="17" fillId="17" borderId="52" xfId="0" applyFont="1" applyFill="1" applyBorder="1" applyAlignment="1">
      <alignment horizontal="center"/>
    </xf>
    <xf numFmtId="0" fontId="17" fillId="17" borderId="51" xfId="0" applyFont="1" applyFill="1" applyBorder="1" applyAlignment="1">
      <alignment horizontal="center"/>
    </xf>
    <xf numFmtId="0" fontId="17" fillId="6" borderId="44" xfId="0" applyFont="1" applyFill="1" applyBorder="1" applyAlignment="1">
      <alignment horizontal="center"/>
    </xf>
    <xf numFmtId="0" fontId="17" fillId="6" borderId="43" xfId="0" applyFont="1" applyFill="1" applyBorder="1" applyAlignment="1">
      <alignment horizontal="center"/>
    </xf>
    <xf numFmtId="0" fontId="17" fillId="6" borderId="42" xfId="0" applyFont="1" applyFill="1" applyBorder="1" applyAlignment="1">
      <alignment horizontal="center"/>
    </xf>
    <xf numFmtId="0" fontId="17" fillId="9" borderId="53" xfId="0" applyFont="1" applyFill="1" applyBorder="1" applyAlignment="1">
      <alignment horizontal="center"/>
    </xf>
    <xf numFmtId="0" fontId="17" fillId="9" borderId="52" xfId="0" applyFont="1" applyFill="1" applyBorder="1" applyAlignment="1">
      <alignment horizontal="center"/>
    </xf>
    <xf numFmtId="0" fontId="17" fillId="9" borderId="51" xfId="0" applyFont="1" applyFill="1" applyBorder="1" applyAlignment="1">
      <alignment horizontal="center"/>
    </xf>
    <xf numFmtId="0" fontId="17" fillId="11" borderId="53" xfId="0" applyFont="1" applyFill="1" applyBorder="1" applyAlignment="1">
      <alignment horizontal="center"/>
    </xf>
    <xf numFmtId="0" fontId="17" fillId="11" borderId="52" xfId="0" applyFont="1" applyFill="1" applyBorder="1" applyAlignment="1">
      <alignment horizontal="center"/>
    </xf>
    <xf numFmtId="0" fontId="17" fillId="11" borderId="51" xfId="0" applyFont="1" applyFill="1" applyBorder="1" applyAlignment="1">
      <alignment horizontal="center"/>
    </xf>
    <xf numFmtId="1" fontId="5" fillId="8" borderId="9" xfId="0" applyNumberFormat="1" applyFont="1" applyFill="1" applyBorder="1" applyAlignment="1">
      <alignment horizontal="center" vertical="center"/>
    </xf>
    <xf numFmtId="14" fontId="7" fillId="8" borderId="9" xfId="0" applyNumberFormat="1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2" fontId="7" fillId="14" borderId="9" xfId="0" applyNumberFormat="1" applyFont="1" applyFill="1" applyBorder="1" applyAlignment="1">
      <alignment horizontal="center" vertical="center"/>
    </xf>
    <xf numFmtId="0" fontId="7" fillId="14" borderId="9" xfId="0" applyFont="1" applyFill="1" applyBorder="1" applyAlignment="1">
      <alignment horizontal="center" vertical="center"/>
    </xf>
    <xf numFmtId="2" fontId="7" fillId="5" borderId="9" xfId="0" applyNumberFormat="1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2" fontId="7" fillId="8" borderId="30" xfId="0" applyNumberFormat="1" applyFont="1" applyFill="1" applyBorder="1" applyAlignment="1">
      <alignment horizontal="center" vertical="center"/>
    </xf>
    <xf numFmtId="2" fontId="7" fillId="8" borderId="31" xfId="0" applyNumberFormat="1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/>
    </xf>
    <xf numFmtId="0" fontId="5" fillId="8" borderId="10" xfId="0" applyFont="1" applyFill="1" applyBorder="1" applyAlignment="1">
      <alignment horizontal="center"/>
    </xf>
    <xf numFmtId="2" fontId="7" fillId="8" borderId="32" xfId="0" applyNumberFormat="1" applyFont="1" applyFill="1" applyBorder="1" applyAlignment="1">
      <alignment horizontal="center" vertical="center"/>
    </xf>
    <xf numFmtId="0" fontId="8" fillId="9" borderId="33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9" borderId="27" xfId="0" applyFont="1" applyFill="1" applyBorder="1" applyAlignment="1">
      <alignment horizontal="center"/>
    </xf>
    <xf numFmtId="0" fontId="8" fillId="11" borderId="26" xfId="0" applyFont="1" applyFill="1" applyBorder="1" applyAlignment="1">
      <alignment horizontal="center"/>
    </xf>
    <xf numFmtId="0" fontId="8" fillId="11" borderId="0" xfId="0" applyFont="1" applyFill="1" applyAlignment="1">
      <alignment horizontal="center"/>
    </xf>
    <xf numFmtId="0" fontId="8" fillId="7" borderId="26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8" fillId="16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164" fontId="8" fillId="0" borderId="0" xfId="0" applyNumberFormat="1" applyFont="1" applyAlignment="1">
      <alignment horizontal="center"/>
    </xf>
    <xf numFmtId="0" fontId="10" fillId="4" borderId="3" xfId="0" applyFont="1" applyFill="1" applyBorder="1" applyAlignment="1">
      <alignment vertical="center" wrapText="1"/>
    </xf>
    <xf numFmtId="0" fontId="10" fillId="4" borderId="24" xfId="0" applyFont="1" applyFill="1" applyBorder="1" applyAlignment="1">
      <alignment vertical="center" wrapText="1"/>
    </xf>
    <xf numFmtId="0" fontId="10" fillId="4" borderId="25" xfId="0" applyFont="1" applyFill="1" applyBorder="1" applyAlignment="1">
      <alignment vertical="center" wrapText="1"/>
    </xf>
    <xf numFmtId="2" fontId="7" fillId="8" borderId="7" xfId="0" applyNumberFormat="1" applyFont="1" applyFill="1" applyBorder="1" applyAlignment="1">
      <alignment horizontal="center" vertical="center"/>
    </xf>
    <xf numFmtId="2" fontId="7" fillId="8" borderId="8" xfId="0" applyNumberFormat="1" applyFont="1" applyFill="1" applyBorder="1" applyAlignment="1">
      <alignment horizontal="center" vertical="center"/>
    </xf>
    <xf numFmtId="2" fontId="14" fillId="3" borderId="12" xfId="0" applyNumberFormat="1" applyFont="1" applyFill="1" applyBorder="1" applyAlignment="1">
      <alignment horizontal="center"/>
    </xf>
    <xf numFmtId="2" fontId="14" fillId="3" borderId="11" xfId="0" applyNumberFormat="1" applyFont="1" applyFill="1" applyBorder="1" applyAlignment="1">
      <alignment horizontal="center"/>
    </xf>
    <xf numFmtId="0" fontId="14" fillId="3" borderId="12" xfId="0" applyFont="1" applyFill="1" applyBorder="1" applyAlignment="1">
      <alignment horizontal="center"/>
    </xf>
    <xf numFmtId="0" fontId="14" fillId="3" borderId="11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/>
    </xf>
    <xf numFmtId="0" fontId="10" fillId="4" borderId="24" xfId="0" applyFont="1" applyFill="1" applyBorder="1" applyAlignment="1">
      <alignment horizontal="left" vertical="center" wrapText="1"/>
    </xf>
    <xf numFmtId="0" fontId="10" fillId="4" borderId="25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vertical="center" wrapText="1"/>
    </xf>
  </cellXfs>
  <cellStyles count="1">
    <cellStyle name="Standard" xfId="0" builtinId="0"/>
  </cellStyles>
  <dxfs count="2">
    <dxf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FFFF99"/>
      <color rgb="FFD5EFFF"/>
      <color rgb="FF66FF99"/>
      <color rgb="FFFF5050"/>
      <color rgb="FFCCFFCC"/>
      <color rgb="FF008000"/>
      <color rgb="FFCCECFF"/>
      <color rgb="FFB3E2FF"/>
      <color rgb="FF003399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557562</xdr:colOff>
      <xdr:row>16</xdr:row>
      <xdr:rowOff>162621</xdr:rowOff>
    </xdr:from>
    <xdr:to>
      <xdr:col>9</xdr:col>
      <xdr:colOff>180985</xdr:colOff>
      <xdr:row>18</xdr:row>
      <xdr:rowOff>73462</xdr:rowOff>
    </xdr:to>
    <xdr:sp macro="" textlink="">
      <xdr:nvSpPr>
        <xdr:cNvPr id="2" name="Raute 1">
          <a:extLst>
            <a:ext uri="{FF2B5EF4-FFF2-40B4-BE49-F238E27FC236}">
              <a16:creationId xmlns:a16="http://schemas.microsoft.com/office/drawing/2014/main" id="{673E84AE-566C-4212-A208-A2DCCCDDA323}"/>
            </a:ext>
          </a:extLst>
        </xdr:cNvPr>
        <xdr:cNvSpPr/>
      </xdr:nvSpPr>
      <xdr:spPr>
        <a:xfrm>
          <a:off x="8526038" y="3612530"/>
          <a:ext cx="343606" cy="363859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570574</xdr:colOff>
      <xdr:row>28</xdr:row>
      <xdr:rowOff>187248</xdr:rowOff>
    </xdr:from>
    <xdr:to>
      <xdr:col>13</xdr:col>
      <xdr:colOff>193997</xdr:colOff>
      <xdr:row>30</xdr:row>
      <xdr:rowOff>98089</xdr:rowOff>
    </xdr:to>
    <xdr:sp macro="" textlink="">
      <xdr:nvSpPr>
        <xdr:cNvPr id="3" name="Raute 2">
          <a:extLst>
            <a:ext uri="{FF2B5EF4-FFF2-40B4-BE49-F238E27FC236}">
              <a16:creationId xmlns:a16="http://schemas.microsoft.com/office/drawing/2014/main" id="{0B1CD481-AB81-4D93-AEF4-CC8EAB5F402A}"/>
            </a:ext>
          </a:extLst>
        </xdr:cNvPr>
        <xdr:cNvSpPr/>
      </xdr:nvSpPr>
      <xdr:spPr>
        <a:xfrm>
          <a:off x="11419781" y="6204260"/>
          <a:ext cx="343606" cy="363859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20</xdr:col>
      <xdr:colOff>557562</xdr:colOff>
      <xdr:row>39</xdr:row>
      <xdr:rowOff>1</xdr:rowOff>
    </xdr:from>
    <xdr:to>
      <xdr:col>21</xdr:col>
      <xdr:colOff>180985</xdr:colOff>
      <xdr:row>40</xdr:row>
      <xdr:rowOff>119927</xdr:rowOff>
    </xdr:to>
    <xdr:sp macro="" textlink="">
      <xdr:nvSpPr>
        <xdr:cNvPr id="4" name="Raute 3">
          <a:extLst>
            <a:ext uri="{FF2B5EF4-FFF2-40B4-BE49-F238E27FC236}">
              <a16:creationId xmlns:a16="http://schemas.microsoft.com/office/drawing/2014/main" id="{C22B1B8D-F82E-4EAF-BEF7-6E6A3A7F4423}"/>
            </a:ext>
          </a:extLst>
        </xdr:cNvPr>
        <xdr:cNvSpPr/>
      </xdr:nvSpPr>
      <xdr:spPr>
        <a:xfrm>
          <a:off x="17168233" y="8421495"/>
          <a:ext cx="343606" cy="363859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28</xdr:col>
      <xdr:colOff>545947</xdr:colOff>
      <xdr:row>50</xdr:row>
      <xdr:rowOff>139391</xdr:rowOff>
    </xdr:from>
    <xdr:to>
      <xdr:col>29</xdr:col>
      <xdr:colOff>169370</xdr:colOff>
      <xdr:row>52</xdr:row>
      <xdr:rowOff>50232</xdr:rowOff>
    </xdr:to>
    <xdr:sp macro="" textlink="">
      <xdr:nvSpPr>
        <xdr:cNvPr id="5" name="Raute 4">
          <a:extLst>
            <a:ext uri="{FF2B5EF4-FFF2-40B4-BE49-F238E27FC236}">
              <a16:creationId xmlns:a16="http://schemas.microsoft.com/office/drawing/2014/main" id="{472DF9F1-6F3A-4A03-BB01-461364839101}"/>
            </a:ext>
          </a:extLst>
        </xdr:cNvPr>
        <xdr:cNvSpPr/>
      </xdr:nvSpPr>
      <xdr:spPr>
        <a:xfrm>
          <a:off x="22918081" y="10953751"/>
          <a:ext cx="343606" cy="363859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9</xdr:col>
      <xdr:colOff>162623</xdr:colOff>
      <xdr:row>68</xdr:row>
      <xdr:rowOff>53112</xdr:rowOff>
    </xdr:from>
    <xdr:to>
      <xdr:col>12</xdr:col>
      <xdr:colOff>522715</xdr:colOff>
      <xdr:row>69</xdr:row>
      <xdr:rowOff>81311</xdr:rowOff>
    </xdr:to>
    <xdr:sp macro="" textlink="">
      <xdr:nvSpPr>
        <xdr:cNvPr id="6" name="Eingekerbter Richtungspfeil 1">
          <a:extLst>
            <a:ext uri="{FF2B5EF4-FFF2-40B4-BE49-F238E27FC236}">
              <a16:creationId xmlns:a16="http://schemas.microsoft.com/office/drawing/2014/main" id="{481A7D85-A104-4E28-AA2B-0D85287BF721}"/>
            </a:ext>
          </a:extLst>
        </xdr:cNvPr>
        <xdr:cNvSpPr/>
      </xdr:nvSpPr>
      <xdr:spPr>
        <a:xfrm>
          <a:off x="8851282" y="15002716"/>
          <a:ext cx="2520640" cy="260516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116159</xdr:colOff>
      <xdr:row>68</xdr:row>
      <xdr:rowOff>62330</xdr:rowOff>
    </xdr:from>
    <xdr:to>
      <xdr:col>20</xdr:col>
      <xdr:colOff>487865</xdr:colOff>
      <xdr:row>69</xdr:row>
      <xdr:rowOff>58079</xdr:rowOff>
    </xdr:to>
    <xdr:sp macro="" textlink="">
      <xdr:nvSpPr>
        <xdr:cNvPr id="7" name="Eingekerbter Richtungspfeil 7">
          <a:extLst>
            <a:ext uri="{FF2B5EF4-FFF2-40B4-BE49-F238E27FC236}">
              <a16:creationId xmlns:a16="http://schemas.microsoft.com/office/drawing/2014/main" id="{0141C51A-3808-40B5-97A9-0006DED9659F}"/>
            </a:ext>
          </a:extLst>
        </xdr:cNvPr>
        <xdr:cNvSpPr/>
      </xdr:nvSpPr>
      <xdr:spPr>
        <a:xfrm>
          <a:off x="11685549" y="15011934"/>
          <a:ext cx="5412987" cy="228066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116158</xdr:colOff>
      <xdr:row>68</xdr:row>
      <xdr:rowOff>59258</xdr:rowOff>
    </xdr:from>
    <xdr:to>
      <xdr:col>28</xdr:col>
      <xdr:colOff>511098</xdr:colOff>
      <xdr:row>69</xdr:row>
      <xdr:rowOff>92927</xdr:rowOff>
    </xdr:to>
    <xdr:sp macro="" textlink="">
      <xdr:nvSpPr>
        <xdr:cNvPr id="8" name="Eingekerbter Richtungspfeil 8">
          <a:extLst>
            <a:ext uri="{FF2B5EF4-FFF2-40B4-BE49-F238E27FC236}">
              <a16:creationId xmlns:a16="http://schemas.microsoft.com/office/drawing/2014/main" id="{3CCAD271-C4DC-4316-AF83-15837EB8F4E2}"/>
            </a:ext>
          </a:extLst>
        </xdr:cNvPr>
        <xdr:cNvSpPr/>
      </xdr:nvSpPr>
      <xdr:spPr>
        <a:xfrm>
          <a:off x="17447012" y="15008862"/>
          <a:ext cx="5436220" cy="265986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29</xdr:col>
      <xdr:colOff>139389</xdr:colOff>
      <xdr:row>68</xdr:row>
      <xdr:rowOff>73947</xdr:rowOff>
    </xdr:from>
    <xdr:to>
      <xdr:col>32</xdr:col>
      <xdr:colOff>371707</xdr:colOff>
      <xdr:row>69</xdr:row>
      <xdr:rowOff>116158</xdr:rowOff>
    </xdr:to>
    <xdr:sp macro="" textlink="">
      <xdr:nvSpPr>
        <xdr:cNvPr id="9" name="Eingekerbter Richtungspfeil 9">
          <a:extLst>
            <a:ext uri="{FF2B5EF4-FFF2-40B4-BE49-F238E27FC236}">
              <a16:creationId xmlns:a16="http://schemas.microsoft.com/office/drawing/2014/main" id="{041AFC99-40CC-4C2E-BDF4-75988056902D}"/>
            </a:ext>
          </a:extLst>
        </xdr:cNvPr>
        <xdr:cNvSpPr/>
      </xdr:nvSpPr>
      <xdr:spPr>
        <a:xfrm>
          <a:off x="23231706" y="15023551"/>
          <a:ext cx="1974696" cy="274528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58080</xdr:colOff>
      <xdr:row>68</xdr:row>
      <xdr:rowOff>56186</xdr:rowOff>
    </xdr:from>
    <xdr:to>
      <xdr:col>8</xdr:col>
      <xdr:colOff>522713</xdr:colOff>
      <xdr:row>69</xdr:row>
      <xdr:rowOff>34847</xdr:rowOff>
    </xdr:to>
    <xdr:sp macro="" textlink="">
      <xdr:nvSpPr>
        <xdr:cNvPr id="10" name="Eingekerbter Richtungspfeil 21">
          <a:extLst>
            <a:ext uri="{FF2B5EF4-FFF2-40B4-BE49-F238E27FC236}">
              <a16:creationId xmlns:a16="http://schemas.microsoft.com/office/drawing/2014/main" id="{709C718E-FBE9-4CBF-8120-B8CEDA88A67D}"/>
            </a:ext>
          </a:extLst>
        </xdr:cNvPr>
        <xdr:cNvSpPr/>
      </xdr:nvSpPr>
      <xdr:spPr>
        <a:xfrm>
          <a:off x="5866007" y="15005790"/>
          <a:ext cx="2625182" cy="210978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560722</xdr:colOff>
      <xdr:row>68</xdr:row>
      <xdr:rowOff>11615</xdr:rowOff>
    </xdr:from>
    <xdr:to>
      <xdr:col>9</xdr:col>
      <xdr:colOff>181496</xdr:colOff>
      <xdr:row>69</xdr:row>
      <xdr:rowOff>111878</xdr:rowOff>
    </xdr:to>
    <xdr:sp macro="" textlink="">
      <xdr:nvSpPr>
        <xdr:cNvPr id="12" name="Raute 11">
          <a:extLst>
            <a:ext uri="{FF2B5EF4-FFF2-40B4-BE49-F238E27FC236}">
              <a16:creationId xmlns:a16="http://schemas.microsoft.com/office/drawing/2014/main" id="{4C74D388-9C29-402E-BC86-AA9D43BB40F2}"/>
            </a:ext>
          </a:extLst>
        </xdr:cNvPr>
        <xdr:cNvSpPr/>
      </xdr:nvSpPr>
      <xdr:spPr>
        <a:xfrm>
          <a:off x="8529198" y="14961219"/>
          <a:ext cx="340957" cy="33258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545700</xdr:colOff>
      <xdr:row>68</xdr:row>
      <xdr:rowOff>26305</xdr:rowOff>
    </xdr:from>
    <xdr:to>
      <xdr:col>13</xdr:col>
      <xdr:colOff>166474</xdr:colOff>
      <xdr:row>69</xdr:row>
      <xdr:rowOff>126568</xdr:rowOff>
    </xdr:to>
    <xdr:sp macro="" textlink="">
      <xdr:nvSpPr>
        <xdr:cNvPr id="13" name="Raute 12">
          <a:extLst>
            <a:ext uri="{FF2B5EF4-FFF2-40B4-BE49-F238E27FC236}">
              <a16:creationId xmlns:a16="http://schemas.microsoft.com/office/drawing/2014/main" id="{586CE013-4909-45F8-9009-834EF7961EC7}"/>
            </a:ext>
          </a:extLst>
        </xdr:cNvPr>
        <xdr:cNvSpPr/>
      </xdr:nvSpPr>
      <xdr:spPr>
        <a:xfrm>
          <a:off x="11394907" y="14975909"/>
          <a:ext cx="340957" cy="33258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20</xdr:col>
      <xdr:colOff>542294</xdr:colOff>
      <xdr:row>68</xdr:row>
      <xdr:rowOff>17761</xdr:rowOff>
    </xdr:from>
    <xdr:to>
      <xdr:col>21</xdr:col>
      <xdr:colOff>163068</xdr:colOff>
      <xdr:row>69</xdr:row>
      <xdr:rowOff>118024</xdr:rowOff>
    </xdr:to>
    <xdr:sp macro="" textlink="">
      <xdr:nvSpPr>
        <xdr:cNvPr id="14" name="Raute 13">
          <a:extLst>
            <a:ext uri="{FF2B5EF4-FFF2-40B4-BE49-F238E27FC236}">
              <a16:creationId xmlns:a16="http://schemas.microsoft.com/office/drawing/2014/main" id="{6386DDD9-6091-4F01-9A39-E04AC627DAD4}"/>
            </a:ext>
          </a:extLst>
        </xdr:cNvPr>
        <xdr:cNvSpPr/>
      </xdr:nvSpPr>
      <xdr:spPr>
        <a:xfrm>
          <a:off x="17152965" y="14967365"/>
          <a:ext cx="340957" cy="33258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28</xdr:col>
      <xdr:colOff>550507</xdr:colOff>
      <xdr:row>68</xdr:row>
      <xdr:rowOff>29377</xdr:rowOff>
    </xdr:from>
    <xdr:to>
      <xdr:col>29</xdr:col>
      <xdr:colOff>171282</xdr:colOff>
      <xdr:row>69</xdr:row>
      <xdr:rowOff>129640</xdr:rowOff>
    </xdr:to>
    <xdr:sp macro="" textlink="">
      <xdr:nvSpPr>
        <xdr:cNvPr id="15" name="Raute 14">
          <a:extLst>
            <a:ext uri="{FF2B5EF4-FFF2-40B4-BE49-F238E27FC236}">
              <a16:creationId xmlns:a16="http://schemas.microsoft.com/office/drawing/2014/main" id="{66D3110E-D02C-4126-B073-80284023D5C1}"/>
            </a:ext>
          </a:extLst>
        </xdr:cNvPr>
        <xdr:cNvSpPr/>
      </xdr:nvSpPr>
      <xdr:spPr>
        <a:xfrm>
          <a:off x="22922641" y="14978981"/>
          <a:ext cx="340958" cy="33258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32</xdr:col>
      <xdr:colOff>405145</xdr:colOff>
      <xdr:row>68</xdr:row>
      <xdr:rowOff>58080</xdr:rowOff>
    </xdr:from>
    <xdr:to>
      <xdr:col>33</xdr:col>
      <xdr:colOff>165309</xdr:colOff>
      <xdr:row>69</xdr:row>
      <xdr:rowOff>158343</xdr:rowOff>
    </xdr:to>
    <xdr:sp macro="" textlink="">
      <xdr:nvSpPr>
        <xdr:cNvPr id="16" name="Raute 15">
          <a:extLst>
            <a:ext uri="{FF2B5EF4-FFF2-40B4-BE49-F238E27FC236}">
              <a16:creationId xmlns:a16="http://schemas.microsoft.com/office/drawing/2014/main" id="{A24688FF-BF2B-4DCE-BB0F-725A28EBBBE9}"/>
            </a:ext>
          </a:extLst>
        </xdr:cNvPr>
        <xdr:cNvSpPr/>
      </xdr:nvSpPr>
      <xdr:spPr>
        <a:xfrm>
          <a:off x="25239840" y="15007684"/>
          <a:ext cx="340957" cy="33258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oneCellAnchor>
    <xdr:from>
      <xdr:col>34</xdr:col>
      <xdr:colOff>139397</xdr:colOff>
      <xdr:row>6</xdr:row>
      <xdr:rowOff>92925</xdr:rowOff>
    </xdr:from>
    <xdr:ext cx="937629" cy="12812287"/>
    <xdr:sp macro="" textlink="">
      <xdr:nvSpPr>
        <xdr:cNvPr id="18" name="Rechteck 17">
          <a:extLst>
            <a:ext uri="{FF2B5EF4-FFF2-40B4-BE49-F238E27FC236}">
              <a16:creationId xmlns:a16="http://schemas.microsoft.com/office/drawing/2014/main" id="{2D2FF652-E03D-4881-B489-A2DB35DB85DB}"/>
            </a:ext>
          </a:extLst>
        </xdr:cNvPr>
        <xdr:cNvSpPr/>
      </xdr:nvSpPr>
      <xdr:spPr>
        <a:xfrm rot="16200000">
          <a:off x="20198348" y="7331230"/>
          <a:ext cx="12812287" cy="937629"/>
        </a:xfrm>
        <a:prstGeom prst="rect">
          <a:avLst/>
        </a:prstGeom>
        <a:solidFill>
          <a:schemeClr val="accent3">
            <a:lumMod val="75000"/>
            <a:alpha val="45000"/>
          </a:schemeClr>
        </a:solidFill>
      </xdr:spPr>
      <xdr:txBody>
        <a:bodyPr wrap="square" lIns="91440" tIns="45720" rIns="91440" bIns="45720">
          <a:sp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de-DE" sz="54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Frühlingsferien</a:t>
          </a:r>
        </a:p>
      </xdr:txBody>
    </xdr:sp>
    <xdr:clientData/>
  </xdr:oneCellAnchor>
  <xdr:twoCellAnchor>
    <xdr:from>
      <xdr:col>2</xdr:col>
      <xdr:colOff>1440365</xdr:colOff>
      <xdr:row>68</xdr:row>
      <xdr:rowOff>185854</xdr:rowOff>
    </xdr:from>
    <xdr:to>
      <xdr:col>2</xdr:col>
      <xdr:colOff>1776933</xdr:colOff>
      <xdr:row>298</xdr:row>
      <xdr:rowOff>66090</xdr:rowOff>
    </xdr:to>
    <xdr:sp macro="" textlink="">
      <xdr:nvSpPr>
        <xdr:cNvPr id="19" name="Raute 18">
          <a:extLst>
            <a:ext uri="{FF2B5EF4-FFF2-40B4-BE49-F238E27FC236}">
              <a16:creationId xmlns:a16="http://schemas.microsoft.com/office/drawing/2014/main" id="{E814CA03-0B23-48DC-B968-54E15030DF2B}"/>
            </a:ext>
          </a:extLst>
        </xdr:cNvPr>
        <xdr:cNvSpPr/>
      </xdr:nvSpPr>
      <xdr:spPr>
        <a:xfrm>
          <a:off x="1579755" y="15135458"/>
          <a:ext cx="336568" cy="34487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3009902</xdr:colOff>
      <xdr:row>67</xdr:row>
      <xdr:rowOff>69195</xdr:rowOff>
    </xdr:from>
    <xdr:to>
      <xdr:col>3</xdr:col>
      <xdr:colOff>58080</xdr:colOff>
      <xdr:row>67</xdr:row>
      <xdr:rowOff>232316</xdr:rowOff>
    </xdr:to>
    <xdr:sp macro="" textlink="">
      <xdr:nvSpPr>
        <xdr:cNvPr id="20" name="Eingekerbter Richtungspfeil 21">
          <a:extLst>
            <a:ext uri="{FF2B5EF4-FFF2-40B4-BE49-F238E27FC236}">
              <a16:creationId xmlns:a16="http://schemas.microsoft.com/office/drawing/2014/main" id="{8475757B-669B-46AF-A347-DA0762793B61}"/>
            </a:ext>
          </a:extLst>
        </xdr:cNvPr>
        <xdr:cNvSpPr/>
      </xdr:nvSpPr>
      <xdr:spPr>
        <a:xfrm>
          <a:off x="3149292" y="14786482"/>
          <a:ext cx="1717751" cy="163121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BC3AD-D47E-4B0C-B6E2-9F35EBE6DF39}">
  <sheetPr>
    <pageSetUpPr fitToPage="1"/>
  </sheetPr>
  <dimension ref="B1:AY303"/>
  <sheetViews>
    <sheetView showGridLines="0" tabSelected="1" zoomScale="82" zoomScaleNormal="82" workbookViewId="0">
      <pane xSplit="5" ySplit="6" topLeftCell="F11" activePane="bottomRight" state="frozen"/>
      <selection activeCell="F5" sqref="F5:I5"/>
      <selection pane="topRight" activeCell="F5" sqref="F5:I5"/>
      <selection pane="bottomLeft" activeCell="F5" sqref="F5:I5"/>
      <selection pane="bottomRight" activeCell="I61" sqref="I61"/>
    </sheetView>
  </sheetViews>
  <sheetFormatPr baseColWidth="10" defaultColWidth="11.42578125" defaultRowHeight="12.75" x14ac:dyDescent="0.2"/>
  <cols>
    <col min="1" max="1" width="1.140625" style="77" customWidth="1"/>
    <col min="2" max="2" width="0.85546875" style="76" customWidth="1"/>
    <col min="3" max="3" width="70" style="77" customWidth="1"/>
    <col min="4" max="5" width="7.42578125" style="78" customWidth="1"/>
    <col min="6" max="29" width="10.7109375" style="77" customWidth="1"/>
    <col min="30" max="37" width="8.7109375" style="77" customWidth="1"/>
    <col min="38" max="38" width="9.140625" style="77" customWidth="1"/>
    <col min="39" max="39" width="3.42578125" style="77" customWidth="1"/>
    <col min="40" max="50" width="0" style="77" hidden="1" customWidth="1"/>
    <col min="51" max="16384" width="11.42578125" style="77"/>
  </cols>
  <sheetData>
    <row r="1" spans="2:37" s="32" customFormat="1" ht="16.5" thickTop="1" thickBot="1" x14ac:dyDescent="0.25">
      <c r="B1" s="33"/>
      <c r="C1" s="34"/>
      <c r="D1" s="35"/>
      <c r="E1" s="36"/>
      <c r="F1" s="215" t="s">
        <v>0</v>
      </c>
      <c r="G1" s="215"/>
      <c r="H1" s="215"/>
      <c r="I1" s="215"/>
      <c r="J1" s="215" t="s">
        <v>1</v>
      </c>
      <c r="K1" s="215"/>
      <c r="L1" s="215"/>
      <c r="M1" s="215"/>
      <c r="N1" s="215" t="s">
        <v>2</v>
      </c>
      <c r="O1" s="215"/>
      <c r="P1" s="215"/>
      <c r="Q1" s="215"/>
      <c r="R1" s="215" t="s">
        <v>3</v>
      </c>
      <c r="S1" s="215"/>
      <c r="T1" s="215"/>
      <c r="U1" s="215"/>
      <c r="V1" s="215" t="s">
        <v>4</v>
      </c>
      <c r="W1" s="215"/>
      <c r="X1" s="215"/>
      <c r="Y1" s="215"/>
      <c r="Z1" s="215" t="s">
        <v>5</v>
      </c>
      <c r="AA1" s="215"/>
      <c r="AB1" s="215"/>
      <c r="AC1" s="215"/>
      <c r="AD1" s="215" t="s">
        <v>6</v>
      </c>
      <c r="AE1" s="215"/>
      <c r="AF1" s="215"/>
      <c r="AG1" s="215"/>
      <c r="AH1" s="215" t="s">
        <v>7</v>
      </c>
      <c r="AI1" s="215"/>
      <c r="AJ1" s="215"/>
      <c r="AK1" s="215"/>
    </row>
    <row r="2" spans="2:37" s="37" customFormat="1" ht="17.25" thickTop="1" thickBot="1" x14ac:dyDescent="0.3">
      <c r="B2" s="38"/>
      <c r="C2" s="34"/>
      <c r="D2" s="35"/>
      <c r="E2" s="36"/>
      <c r="F2" s="216">
        <v>46084</v>
      </c>
      <c r="G2" s="217"/>
      <c r="H2" s="217"/>
      <c r="I2" s="217"/>
      <c r="J2" s="216">
        <v>46086</v>
      </c>
      <c r="K2" s="217"/>
      <c r="L2" s="217"/>
      <c r="M2" s="217"/>
      <c r="N2" s="216">
        <v>46091</v>
      </c>
      <c r="O2" s="217"/>
      <c r="P2" s="217"/>
      <c r="Q2" s="217"/>
      <c r="R2" s="216">
        <v>46093</v>
      </c>
      <c r="S2" s="217"/>
      <c r="T2" s="217"/>
      <c r="U2" s="217"/>
      <c r="V2" s="216">
        <v>46098</v>
      </c>
      <c r="W2" s="217"/>
      <c r="X2" s="217"/>
      <c r="Y2" s="217"/>
      <c r="Z2" s="216">
        <v>46100</v>
      </c>
      <c r="AA2" s="217"/>
      <c r="AB2" s="217"/>
      <c r="AC2" s="217"/>
      <c r="AD2" s="216">
        <v>46105</v>
      </c>
      <c r="AE2" s="217"/>
      <c r="AF2" s="217"/>
      <c r="AG2" s="217"/>
      <c r="AH2" s="216">
        <v>46107</v>
      </c>
      <c r="AI2" s="217"/>
      <c r="AJ2" s="217"/>
      <c r="AK2" s="217"/>
    </row>
    <row r="3" spans="2:37" s="37" customFormat="1" ht="17.25" thickTop="1" thickBot="1" x14ac:dyDescent="0.3">
      <c r="B3" s="38"/>
      <c r="C3" s="224" t="s">
        <v>8</v>
      </c>
      <c r="D3" s="224"/>
      <c r="E3" s="225"/>
      <c r="F3" s="218">
        <f>SUM(F8:I8,F10:I10,F12:I12,F14:I14,F16:I16,F20:I20,F22:I22,F24:I24,F26:I26,F28:I28,F32:I32,F34:I34,F36:I36,F38:I38,F42:I42,F46:I46,F48:I48,F50:I50,F54:I54,F56:I56,F60:I60,F64:I64,F44:I44)/4</f>
        <v>3.875</v>
      </c>
      <c r="G3" s="219"/>
      <c r="H3" s="219"/>
      <c r="I3" s="219"/>
      <c r="J3" s="218">
        <f>SUM(J8:M8,J10:M10,J12:M12,J14:M14,J16:M16,J26:M26,J28:M28,J32:M32,J34:M34,J36:M36,J38:M38,J42:M42,J46:M46,J48:M48,J50:M50,J54:M54,J56:M56,J60:M60,J64:M64,J24:L24,J22:K22,J20,J44:M44)/4</f>
        <v>3.375</v>
      </c>
      <c r="K3" s="219"/>
      <c r="L3" s="219"/>
      <c r="M3" s="219"/>
      <c r="N3" s="218">
        <f>SUM(N8:Q8,N10:Q10,N12:Q12,N14:Q14,N16:Q16,N20:Q20,N22:Q22,N24:Q24,N26:Q26,N28:Q28,N32,N34:O34,N36:O36,N38:Q38,N42:Q42,N46:Q46,N48:Q48,N50:Q50,N54:Q54,N56:Q56,N60:Q60,N64:Q64,N44:Q44)/4</f>
        <v>3.3125</v>
      </c>
      <c r="O3" s="219"/>
      <c r="P3" s="219"/>
      <c r="Q3" s="219"/>
      <c r="R3" s="218">
        <f>SUM(R8:U8,R10:U10,R12:U12,R14:U14,R16:U16,R26:U26,R28:U28,R32:U32,R34:U34,R36:U36,R38:U38,R42:U42,R46:U46,R48:U48,R50:U50,R54:U54,R56:U56,R60:U60,R64:U64,R24:U24,R22:U22,R20:U20,R44:U44)/4</f>
        <v>2.1875</v>
      </c>
      <c r="S3" s="219"/>
      <c r="T3" s="219"/>
      <c r="U3" s="219"/>
      <c r="V3" s="218">
        <f>SUM(V8:Y8,V10:Y10,V12:Y12,V14:Y14,V16:Y16,V20:Y20,V22:Y22,V24:Y24,V26:Y26,V28:Y28,V32:Y32,V34:Y34,V36:Y36,V38:Y38,V42:Y42,V46:Y46,V48:Y48,V50:Y50,V54:Y54,V56:Y56,V60:Y60,V64:Y64,V44:Y44)/4</f>
        <v>0.58750000000000002</v>
      </c>
      <c r="W3" s="219"/>
      <c r="X3" s="219"/>
      <c r="Y3" s="219"/>
      <c r="Z3" s="218">
        <f>SUM(Z8:AC8,Z10:AC10,Z12:AC12,Z14:AC14,Z16:AC16,Z20:AC20,Z22:AC22,Z24:AC24,Z26:AC26,Z28:AC28,Z32:AC32,Z34:AC34,Z36:AC36,Z38:AC38,Z42:AC42,Z46:AC46,Z48:AC48,Z50:AC50,Z54:AC54,Z56:AC56,Z60:AC60,Z64:AC64,Z44:AC44)/4</f>
        <v>0.4375</v>
      </c>
      <c r="AA3" s="219"/>
      <c r="AB3" s="219"/>
      <c r="AC3" s="219"/>
      <c r="AD3" s="218">
        <f>SUM(AD8:AG8,AD10:AG10,AD12:AG12,AD14:AG14,AD16:AG16,AD20:AG20,AD22:AG22,AD24:AG24,AD26:AG26,AD28:AG28,AD32:AG32,AD34:AG34,AD36:AG36,AD38:AG38,AD42:AG42,AD46:AG46,AD48:AG48,AD50:AG50,AD54:AG54,AD56:AG56,AD60:AG60,AD64:AG64)</f>
        <v>0</v>
      </c>
      <c r="AE3" s="219"/>
      <c r="AF3" s="219"/>
      <c r="AG3" s="219"/>
      <c r="AH3" s="218">
        <f>SUM(AH8:AK8,AH10:AK10,AH12:AK12,AH14:AK14,AH16:AK16,AH20:AK20,AH22:AK22,AH24:AK24,AH26:AK26,AH28:AK28,AH32:AK32,AH34:AK34,AH36:AK36,AH38:AK38,AH42:AK42,AH46:AK46,AH48:AK48,AH50:AK50,AH54:AK54,AH56:AK56,AH60:AK60,AH64:AK64)</f>
        <v>0</v>
      </c>
      <c r="AI3" s="219"/>
      <c r="AJ3" s="219"/>
      <c r="AK3" s="219"/>
    </row>
    <row r="4" spans="2:37" s="37" customFormat="1" ht="17.25" thickTop="1" thickBot="1" x14ac:dyDescent="0.3">
      <c r="B4" s="38"/>
      <c r="C4" s="224" t="s">
        <v>9</v>
      </c>
      <c r="D4" s="224"/>
      <c r="E4" s="225"/>
      <c r="F4" s="220">
        <f>SUM(F9:I9,F11:I11,F13:I13,F15:I15,F17:I17,F21:I21,F23:I23,F25:I25,F27:I27,F29:I29,F33:I33,F35:I35,F37:I37,F39:I39,F43:I43,F47:I47,F49:I49,F51:I51,F55:I55,F57:I57,F61:I61,F65:I65,F45:I45)/4</f>
        <v>4.25</v>
      </c>
      <c r="G4" s="221"/>
      <c r="H4" s="221"/>
      <c r="I4" s="221"/>
      <c r="J4" s="220">
        <f>SUM(J9:M9,J11:M11,J13:M13,J15:M15,J17:M17,J27:M27,J29:M29,J33:M33,J35:M35,J37:M37,J39:M39,J43:M43,J47:M47,J49:M49,J51:M51,J55:M55,J57:M57,J61:M61,J65:M65,J21,J23:K23,J25:L25,J45:M45)/4</f>
        <v>4.125</v>
      </c>
      <c r="K4" s="221"/>
      <c r="L4" s="221"/>
      <c r="M4" s="221"/>
      <c r="N4" s="220">
        <f>SUM(N9:Q9,N11:Q11,N13:Q13,N15:Q15,N17:Q17,N21:Q21,N23:Q23,N25:Q25,N27:Q27,N29:Q29,N33:Q33,N35:Q35,N37:Q37,N39:Q39,N43:Q43,N47:Q47,N49:Q49,N51:Q51,N55:Q55,N57:Q57,N61:Q61,N65:Q65,N45:Q45)</f>
        <v>0.5</v>
      </c>
      <c r="O4" s="221"/>
      <c r="P4" s="221"/>
      <c r="Q4" s="221"/>
      <c r="R4" s="220">
        <f>SUM(R9:U9,R11:U11,R13:U13,R15:U15,R17:U17,J21:M21,J23:M23,J25:M25,R27:U27,R29:U29,R33:U33,R35:U35,R37:U37,R39:U39,R43:U43,R47:U47,R49:U49,R51:U51,R55:U55,R57:U57,R61:U61,R65:U65,R19:U19,R21:U21,R23:U23,R25:U25,R45:U45)</f>
        <v>24</v>
      </c>
      <c r="S4" s="221"/>
      <c r="T4" s="221"/>
      <c r="U4" s="221"/>
      <c r="V4" s="220">
        <f>SUM(V9:Y9,V11:Y11,V13:Y13,V15:Y15,V17:Y17,V21:Y21,V23:Y23,V25:Y25,V27:Y27,V29:Y29,V33:Y33,V35:Y35,V37:Y37,V39:Y39,V43:Y43,V47:Y47,V49:Y49,V51:Y51,V55:Y55,V57:Y57,V61:Y61,V65:Y65,V45:Y45)</f>
        <v>0</v>
      </c>
      <c r="W4" s="221"/>
      <c r="X4" s="221"/>
      <c r="Y4" s="221"/>
      <c r="Z4" s="220">
        <f>SUM(Z9:AC9,Z11:AC11,Z13:AC13,Z15:AC15,Z17:AC17,Z21:AC21,Z23:AC23,Z25:AC25,Z27:AC27,Z29:AC29,Z33:AC33,Z35:AC35,Z37:AC37,Z39:AC39,Z43:AC43,Z47:AC47,Z49:AC49,Z51:AC51,Z55:AC55,Z57:AC57,Z61:AC61,Z65:AC65,Z45:AC45)</f>
        <v>0</v>
      </c>
      <c r="AA4" s="221"/>
      <c r="AB4" s="221"/>
      <c r="AC4" s="221"/>
      <c r="AD4" s="220">
        <f>SUM(AD9:AG9,AD11:AG11,AD13:AG13,AD15:AG15,AD17:AG17,AD21:AG21,AD23:AG23,AD25:AG25,AD27:AG27,AD29:AG29,AD33:AG33,AD35:AG35,AD37:AG37,AD39:AG39,AD43:AG43,AD47:AG47,AD49:AG49,AD51:AG51,AD55:AG55,AD57:AG57,AD61:AG61,AD65:AG65)</f>
        <v>0</v>
      </c>
      <c r="AE4" s="221"/>
      <c r="AF4" s="221"/>
      <c r="AG4" s="221"/>
      <c r="AH4" s="220">
        <f>SUM(AH9:AK9,AH11:AK11,AH13:AK13,AH15:AK15,AH17:AK17,AH21:AK21,AH23:AK23,AH25:AK25,AH27:AK27,AH29:AK29,AH33:AK33,AH35:AK35,AH37:AK37,AH39:AK39,AH43:AK43,AH47:AK47,AH49:AK49,AH51:AK51,AH55:AK55,AH57:AK57,AH61:AK61,AH65:AK65)</f>
        <v>0</v>
      </c>
      <c r="AI4" s="221"/>
      <c r="AJ4" s="221"/>
      <c r="AK4" s="221"/>
    </row>
    <row r="5" spans="2:37" s="37" customFormat="1" ht="17.25" thickTop="1" thickBot="1" x14ac:dyDescent="0.3">
      <c r="B5" s="38"/>
      <c r="C5" s="39" t="s">
        <v>10</v>
      </c>
      <c r="D5" s="240" t="s">
        <v>11</v>
      </c>
      <c r="E5" s="241"/>
      <c r="F5" s="222">
        <f>4/(F3-F4)</f>
        <v>-10.666666666666666</v>
      </c>
      <c r="G5" s="223"/>
      <c r="H5" s="223"/>
      <c r="I5" s="226"/>
      <c r="J5" s="222">
        <f>J3-J4</f>
        <v>-0.75</v>
      </c>
      <c r="K5" s="223"/>
      <c r="L5" s="223"/>
      <c r="M5" s="226"/>
      <c r="N5" s="222">
        <f>N3-N4</f>
        <v>2.8125</v>
      </c>
      <c r="O5" s="223"/>
      <c r="P5" s="223"/>
      <c r="Q5" s="223"/>
      <c r="R5" s="222">
        <f>R3-R4</f>
        <v>-21.8125</v>
      </c>
      <c r="S5" s="223"/>
      <c r="T5" s="223"/>
      <c r="U5" s="223"/>
      <c r="V5" s="222">
        <f>V3-V4</f>
        <v>0.58750000000000002</v>
      </c>
      <c r="W5" s="223"/>
      <c r="X5" s="223"/>
      <c r="Y5" s="223"/>
      <c r="Z5" s="222">
        <f>Z3-Z4</f>
        <v>0.4375</v>
      </c>
      <c r="AA5" s="223"/>
      <c r="AB5" s="223"/>
      <c r="AC5" s="223"/>
      <c r="AD5" s="222">
        <f>AD3-AD4</f>
        <v>0</v>
      </c>
      <c r="AE5" s="223"/>
      <c r="AF5" s="223"/>
      <c r="AG5" s="223"/>
      <c r="AH5" s="222">
        <f>AH3-AH4</f>
        <v>0</v>
      </c>
      <c r="AI5" s="223"/>
      <c r="AJ5" s="223"/>
      <c r="AK5" s="223"/>
    </row>
    <row r="6" spans="2:37" s="37" customFormat="1" ht="16.5" thickBot="1" x14ac:dyDescent="0.3">
      <c r="B6" s="38"/>
      <c r="C6" s="41"/>
      <c r="D6" s="42" t="s">
        <v>12</v>
      </c>
      <c r="E6" s="42" t="s">
        <v>13</v>
      </c>
      <c r="F6" s="43"/>
      <c r="G6" s="43"/>
      <c r="H6" s="43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</row>
    <row r="7" spans="2:37" s="30" customFormat="1" ht="18.75" thickBot="1" x14ac:dyDescent="0.3">
      <c r="B7" s="44"/>
      <c r="C7" s="45" t="s">
        <v>14</v>
      </c>
      <c r="D7" s="46"/>
      <c r="E7" s="47"/>
      <c r="F7" s="1"/>
      <c r="G7" s="2"/>
      <c r="H7" s="3"/>
      <c r="I7" s="4"/>
      <c r="J7" s="5"/>
      <c r="K7" s="6"/>
      <c r="L7" s="7"/>
      <c r="M7" s="8"/>
      <c r="N7" s="5"/>
      <c r="O7" s="6"/>
      <c r="P7" s="7"/>
      <c r="Q7" s="8"/>
      <c r="R7" s="5"/>
      <c r="S7" s="6"/>
      <c r="T7" s="7"/>
      <c r="U7" s="8"/>
      <c r="V7" s="5"/>
      <c r="W7" s="6"/>
      <c r="X7" s="7"/>
      <c r="Y7" s="8"/>
      <c r="Z7" s="5"/>
      <c r="AA7" s="6"/>
      <c r="AB7" s="7"/>
      <c r="AC7" s="8"/>
      <c r="AD7" s="5"/>
      <c r="AE7" s="6"/>
      <c r="AF7" s="7"/>
      <c r="AG7" s="8"/>
      <c r="AH7" s="5"/>
      <c r="AI7" s="6"/>
      <c r="AJ7" s="7"/>
      <c r="AK7" s="8"/>
    </row>
    <row r="8" spans="2:37" s="30" customFormat="1" ht="17.25" customHeight="1" thickBot="1" x14ac:dyDescent="0.3">
      <c r="B8" s="31"/>
      <c r="C8" s="237" t="s">
        <v>50</v>
      </c>
      <c r="D8" s="49">
        <f>SUM(F8:AG8)</f>
        <v>2.6</v>
      </c>
      <c r="E8" s="50"/>
      <c r="F8" s="9">
        <f>SUM('Ch.G'!D4,St.G!D4,Be.P!D4,Su.S!D4)</f>
        <v>2.6</v>
      </c>
      <c r="G8" s="10"/>
      <c r="H8" s="10"/>
      <c r="I8" s="11"/>
      <c r="J8" s="12"/>
      <c r="K8" s="10"/>
      <c r="L8" s="10"/>
      <c r="M8" s="11"/>
      <c r="N8" s="12"/>
      <c r="O8" s="10"/>
      <c r="P8" s="10"/>
      <c r="Q8" s="11"/>
      <c r="R8" s="12"/>
      <c r="S8" s="10"/>
      <c r="T8" s="10"/>
      <c r="U8" s="11"/>
      <c r="V8" s="12"/>
      <c r="W8" s="10"/>
      <c r="X8" s="10"/>
      <c r="Y8" s="11"/>
      <c r="Z8" s="12"/>
      <c r="AA8" s="10"/>
      <c r="AB8" s="10"/>
      <c r="AC8" s="11"/>
      <c r="AD8" s="12"/>
      <c r="AE8" s="10"/>
      <c r="AF8" s="10"/>
      <c r="AG8" s="11"/>
      <c r="AH8" s="12"/>
      <c r="AI8" s="10"/>
      <c r="AJ8" s="10"/>
      <c r="AK8" s="11"/>
    </row>
    <row r="9" spans="2:37" s="30" customFormat="1" ht="17.25" customHeight="1" thickBot="1" x14ac:dyDescent="0.3">
      <c r="B9" s="31"/>
      <c r="C9" s="237"/>
      <c r="D9" s="51"/>
      <c r="E9" s="52">
        <f>SUM(F9:AG9)</f>
        <v>3</v>
      </c>
      <c r="F9" s="87">
        <f>SUM('Ch.G'!E4,St.G!E4,Be.P!E4,Su.S!E4)</f>
        <v>3</v>
      </c>
      <c r="G9" s="10"/>
      <c r="H9" s="10"/>
      <c r="I9" s="11"/>
      <c r="J9" s="12"/>
      <c r="K9" s="10"/>
      <c r="L9" s="10"/>
      <c r="M9" s="11"/>
      <c r="N9" s="12"/>
      <c r="O9" s="10"/>
      <c r="P9" s="10"/>
      <c r="Q9" s="11"/>
      <c r="R9" s="12"/>
      <c r="S9" s="10"/>
      <c r="T9" s="10"/>
      <c r="U9" s="11"/>
      <c r="V9" s="12"/>
      <c r="W9" s="10"/>
      <c r="X9" s="10"/>
      <c r="Y9" s="11"/>
      <c r="Z9" s="12"/>
      <c r="AA9" s="10"/>
      <c r="AB9" s="10"/>
      <c r="AC9" s="11"/>
      <c r="AD9" s="12" t="s">
        <v>49</v>
      </c>
      <c r="AE9" s="10"/>
      <c r="AF9" s="10"/>
      <c r="AG9" s="11"/>
      <c r="AH9" s="12" t="s">
        <v>49</v>
      </c>
      <c r="AI9" s="10"/>
      <c r="AJ9" s="10"/>
      <c r="AK9" s="11"/>
    </row>
    <row r="10" spans="2:37" s="30" customFormat="1" ht="16.5" thickBot="1" x14ac:dyDescent="0.3">
      <c r="B10" s="31"/>
      <c r="C10" s="237" t="s">
        <v>48</v>
      </c>
      <c r="D10" s="49">
        <f>SUM(F10:AG10)</f>
        <v>2.6</v>
      </c>
      <c r="E10" s="50"/>
      <c r="F10" s="12"/>
      <c r="G10" s="13">
        <f>SUM('Ch.G'!D5,St.G!D5,Be.P!D5,Su.S!D5)</f>
        <v>2.6</v>
      </c>
      <c r="H10" s="10"/>
      <c r="I10" s="11"/>
      <c r="J10" s="12"/>
      <c r="K10" s="10"/>
      <c r="L10" s="10"/>
      <c r="M10" s="11"/>
      <c r="N10" s="12"/>
      <c r="O10" s="10"/>
      <c r="P10" s="10"/>
      <c r="Q10" s="11"/>
      <c r="R10" s="12"/>
      <c r="S10" s="10"/>
      <c r="T10" s="10"/>
      <c r="U10" s="11"/>
      <c r="V10" s="12"/>
      <c r="W10" s="10"/>
      <c r="X10" s="10"/>
      <c r="Y10" s="11"/>
      <c r="Z10" s="12"/>
      <c r="AA10" s="10"/>
      <c r="AB10" s="10"/>
      <c r="AC10" s="11"/>
      <c r="AD10" s="12"/>
      <c r="AE10" s="10"/>
      <c r="AF10" s="10"/>
      <c r="AG10" s="11"/>
      <c r="AH10" s="12"/>
      <c r="AI10" s="10"/>
      <c r="AJ10" s="10"/>
      <c r="AK10" s="11"/>
    </row>
    <row r="11" spans="2:37" s="30" customFormat="1" ht="16.5" thickBot="1" x14ac:dyDescent="0.3">
      <c r="B11" s="31"/>
      <c r="C11" s="237"/>
      <c r="D11" s="51"/>
      <c r="E11" s="52">
        <f>SUM(F11:AG11)</f>
        <v>7</v>
      </c>
      <c r="F11" s="12"/>
      <c r="G11" s="88">
        <f>SUM('Ch.G'!E5,St.G!E5,Be.P!E5,Su.S!E5)</f>
        <v>7</v>
      </c>
      <c r="H11" s="10"/>
      <c r="I11" s="11"/>
      <c r="J11" s="12"/>
      <c r="K11" s="10"/>
      <c r="L11" s="10"/>
      <c r="M11" s="11"/>
      <c r="N11" s="12"/>
      <c r="O11" s="10"/>
      <c r="P11" s="10"/>
      <c r="Q11" s="11"/>
      <c r="R11" s="12"/>
      <c r="S11" s="10"/>
      <c r="T11" s="10"/>
      <c r="U11" s="11"/>
      <c r="V11" s="12"/>
      <c r="W11" s="10"/>
      <c r="X11" s="10"/>
      <c r="Y11" s="11"/>
      <c r="Z11" s="12"/>
      <c r="AA11" s="10"/>
      <c r="AB11" s="10"/>
      <c r="AC11" s="11"/>
      <c r="AD11" s="12"/>
      <c r="AE11" s="10"/>
      <c r="AF11" s="10"/>
      <c r="AG11" s="11"/>
      <c r="AH11" s="12"/>
      <c r="AI11" s="10"/>
      <c r="AJ11" s="10"/>
      <c r="AK11" s="11"/>
    </row>
    <row r="12" spans="2:37" s="30" customFormat="1" ht="16.5" customHeight="1" thickBot="1" x14ac:dyDescent="0.3">
      <c r="B12" s="31"/>
      <c r="C12" s="237" t="s">
        <v>47</v>
      </c>
      <c r="D12" s="49">
        <f>SUM(F12:AG12)</f>
        <v>2.6</v>
      </c>
      <c r="E12" s="50"/>
      <c r="F12" s="12"/>
      <c r="G12" s="10"/>
      <c r="H12" s="13">
        <f>SUM('Ch.G'!D6,St.G!D6,Be.P!D6,Su.S!D6)</f>
        <v>2.6</v>
      </c>
      <c r="I12" s="11"/>
      <c r="J12" s="12"/>
      <c r="K12" s="10"/>
      <c r="L12" s="10"/>
      <c r="M12" s="11"/>
      <c r="N12" s="12"/>
      <c r="O12" s="10"/>
      <c r="P12" s="10"/>
      <c r="Q12" s="11"/>
      <c r="R12" s="12"/>
      <c r="S12" s="10"/>
      <c r="T12" s="10"/>
      <c r="U12" s="11"/>
      <c r="V12" s="12"/>
      <c r="W12" s="10"/>
      <c r="X12" s="10"/>
      <c r="Y12" s="11"/>
      <c r="Z12" s="12"/>
      <c r="AA12" s="10"/>
      <c r="AB12" s="10"/>
      <c r="AC12" s="11"/>
      <c r="AD12" s="12"/>
      <c r="AE12" s="10"/>
      <c r="AF12" s="10"/>
      <c r="AG12" s="11"/>
      <c r="AH12" s="12"/>
      <c r="AI12" s="10"/>
      <c r="AJ12" s="10"/>
      <c r="AK12" s="11"/>
    </row>
    <row r="13" spans="2:37" s="30" customFormat="1" ht="16.5" customHeight="1" thickBot="1" x14ac:dyDescent="0.3">
      <c r="B13" s="31"/>
      <c r="C13" s="237"/>
      <c r="D13" s="51"/>
      <c r="E13" s="52">
        <f>SUM(F13:AG13)</f>
        <v>2</v>
      </c>
      <c r="F13" s="12"/>
      <c r="G13" s="10"/>
      <c r="H13" s="88">
        <f>SUM('Ch.G'!E6,St.G!E6,Be.P!E6,Su.S!E6)</f>
        <v>2</v>
      </c>
      <c r="I13" s="11"/>
      <c r="J13" s="12"/>
      <c r="K13" s="10"/>
      <c r="L13" s="10"/>
      <c r="M13" s="11"/>
      <c r="N13" s="12"/>
      <c r="O13" s="10"/>
      <c r="P13" s="10"/>
      <c r="Q13" s="11"/>
      <c r="R13" s="12"/>
      <c r="S13" s="10"/>
      <c r="T13" s="10"/>
      <c r="U13" s="11"/>
      <c r="V13" s="12"/>
      <c r="W13" s="10"/>
      <c r="X13" s="10"/>
      <c r="Y13" s="11"/>
      <c r="Z13" s="12"/>
      <c r="AA13" s="10"/>
      <c r="AB13" s="10"/>
      <c r="AC13" s="11"/>
      <c r="AD13" s="12"/>
      <c r="AE13" s="10"/>
      <c r="AF13" s="10"/>
      <c r="AG13" s="11"/>
      <c r="AH13" s="12"/>
      <c r="AI13" s="10"/>
      <c r="AJ13" s="10"/>
      <c r="AK13" s="11"/>
    </row>
    <row r="14" spans="2:37" s="30" customFormat="1" ht="16.5" customHeight="1" thickBot="1" x14ac:dyDescent="0.3">
      <c r="B14" s="31"/>
      <c r="C14" s="237" t="s">
        <v>46</v>
      </c>
      <c r="D14" s="49">
        <f>SUM(F14:AG14)</f>
        <v>2.6</v>
      </c>
      <c r="E14" s="50"/>
      <c r="F14" s="12"/>
      <c r="G14" s="10"/>
      <c r="H14" s="14">
        <f>SUM('Ch.G'!D7,St.G!D7,Be.P!D7,Su.S!D7)</f>
        <v>2.6</v>
      </c>
      <c r="I14" s="11"/>
      <c r="J14" s="12"/>
      <c r="K14" s="10"/>
      <c r="L14" s="15"/>
      <c r="M14" s="11"/>
      <c r="N14" s="12"/>
      <c r="O14" s="10"/>
      <c r="P14" s="15"/>
      <c r="Q14" s="11"/>
      <c r="R14" s="12"/>
      <c r="S14" s="10"/>
      <c r="T14" s="15"/>
      <c r="U14" s="11"/>
      <c r="V14" s="12"/>
      <c r="W14" s="10"/>
      <c r="X14" s="15"/>
      <c r="Y14" s="11"/>
      <c r="Z14" s="12"/>
      <c r="AA14" s="10"/>
      <c r="AB14" s="15"/>
      <c r="AC14" s="11"/>
      <c r="AD14" s="12"/>
      <c r="AE14" s="10"/>
      <c r="AF14" s="15"/>
      <c r="AG14" s="11"/>
      <c r="AH14" s="12"/>
      <c r="AI14" s="10"/>
      <c r="AJ14" s="15"/>
      <c r="AK14" s="11"/>
    </row>
    <row r="15" spans="2:37" s="30" customFormat="1" ht="16.5" customHeight="1" thickBot="1" x14ac:dyDescent="0.3">
      <c r="B15" s="31"/>
      <c r="C15" s="237"/>
      <c r="D15" s="51"/>
      <c r="E15" s="52">
        <f>SUM(F15:AG15)</f>
        <v>3</v>
      </c>
      <c r="F15" s="12"/>
      <c r="G15" s="10"/>
      <c r="H15" s="88">
        <f>SUM('Ch.G'!E7,St.G!E7,Be.P!E7,Su.S!E7)</f>
        <v>3</v>
      </c>
      <c r="I15" s="11"/>
      <c r="J15" s="12"/>
      <c r="K15" s="10"/>
      <c r="L15" s="10"/>
      <c r="M15" s="11"/>
      <c r="N15" s="12"/>
      <c r="O15" s="10"/>
      <c r="P15" s="10"/>
      <c r="Q15" s="11"/>
      <c r="R15" s="12"/>
      <c r="S15" s="10"/>
      <c r="T15" s="10"/>
      <c r="U15" s="11"/>
      <c r="V15" s="12"/>
      <c r="W15" s="10"/>
      <c r="X15" s="10"/>
      <c r="Y15" s="11"/>
      <c r="Z15" s="12"/>
      <c r="AA15" s="10"/>
      <c r="AB15" s="10"/>
      <c r="AC15" s="11"/>
      <c r="AD15" s="12"/>
      <c r="AE15" s="10"/>
      <c r="AF15" s="10"/>
      <c r="AG15" s="11"/>
      <c r="AH15" s="12"/>
      <c r="AI15" s="10"/>
      <c r="AJ15" s="10"/>
      <c r="AK15" s="11"/>
    </row>
    <row r="16" spans="2:37" s="30" customFormat="1" ht="16.5" customHeight="1" thickBot="1" x14ac:dyDescent="0.3">
      <c r="B16" s="31"/>
      <c r="C16" s="237" t="s">
        <v>45</v>
      </c>
      <c r="D16" s="49">
        <f>SUM(F16:AG16)</f>
        <v>2.6</v>
      </c>
      <c r="E16" s="50"/>
      <c r="F16" s="12"/>
      <c r="G16" s="10"/>
      <c r="H16" s="10"/>
      <c r="I16" s="13">
        <f>SUM('Ch.G'!D8,St.G!D8,Be.P!D8,Su.S!D8)</f>
        <v>2.6</v>
      </c>
      <c r="J16" s="12"/>
      <c r="K16" s="10"/>
      <c r="L16" s="10"/>
      <c r="M16" s="11"/>
      <c r="N16" s="12"/>
      <c r="O16" s="10"/>
      <c r="P16" s="10"/>
      <c r="Q16" s="11"/>
      <c r="R16" s="12"/>
      <c r="S16" s="10"/>
      <c r="T16" s="10"/>
      <c r="U16" s="11"/>
      <c r="V16" s="12"/>
      <c r="W16" s="10"/>
      <c r="X16" s="10"/>
      <c r="Y16" s="11"/>
      <c r="Z16" s="12"/>
      <c r="AA16" s="10"/>
      <c r="AB16" s="10"/>
      <c r="AC16" s="11"/>
      <c r="AD16" s="12"/>
      <c r="AE16" s="10"/>
      <c r="AF16" s="10"/>
      <c r="AG16" s="11"/>
      <c r="AH16" s="12"/>
      <c r="AI16" s="10"/>
      <c r="AJ16" s="10"/>
      <c r="AK16" s="11"/>
    </row>
    <row r="17" spans="2:37" s="30" customFormat="1" ht="16.5" customHeight="1" thickBot="1" x14ac:dyDescent="0.3">
      <c r="B17" s="31"/>
      <c r="C17" s="237"/>
      <c r="D17" s="51"/>
      <c r="E17" s="52">
        <f>SUM(F17:AG17)</f>
        <v>1.5</v>
      </c>
      <c r="F17" s="12"/>
      <c r="G17" s="10"/>
      <c r="H17" s="10"/>
      <c r="I17" s="89">
        <f>SUM('Ch.G'!E8,St.G!E8,Be.P!E8,Su.S!E8)</f>
        <v>1.5</v>
      </c>
      <c r="J17" s="12"/>
      <c r="K17" s="10"/>
      <c r="L17" s="10"/>
      <c r="M17" s="11"/>
      <c r="N17" s="12"/>
      <c r="O17" s="10"/>
      <c r="P17" s="10"/>
      <c r="Q17" s="11"/>
      <c r="R17" s="12"/>
      <c r="S17" s="10"/>
      <c r="T17" s="10"/>
      <c r="U17" s="11"/>
      <c r="V17" s="12"/>
      <c r="W17" s="10"/>
      <c r="X17" s="10"/>
      <c r="Y17" s="11"/>
      <c r="Z17" s="12"/>
      <c r="AA17" s="10"/>
      <c r="AB17" s="10"/>
      <c r="AC17" s="11"/>
      <c r="AD17" s="12"/>
      <c r="AE17" s="10"/>
      <c r="AF17" s="10"/>
      <c r="AG17" s="11"/>
      <c r="AH17" s="12"/>
      <c r="AI17" s="10"/>
      <c r="AJ17" s="10"/>
      <c r="AK17" s="11"/>
    </row>
    <row r="18" spans="2:37" s="30" customFormat="1" ht="18.75" thickBot="1" x14ac:dyDescent="0.3">
      <c r="B18" s="31"/>
      <c r="C18" s="53"/>
      <c r="D18" s="54"/>
      <c r="E18" s="55"/>
      <c r="F18" s="12"/>
      <c r="G18" s="10"/>
      <c r="H18" s="10"/>
      <c r="I18" s="11"/>
      <c r="J18" s="12"/>
      <c r="K18" s="10"/>
      <c r="L18" s="10"/>
      <c r="M18" s="11"/>
      <c r="N18" s="12"/>
      <c r="O18" s="10"/>
      <c r="P18" s="10"/>
      <c r="Q18" s="11"/>
      <c r="R18" s="12"/>
      <c r="S18" s="10"/>
      <c r="T18" s="10"/>
      <c r="U18" s="11"/>
      <c r="V18" s="12"/>
      <c r="W18" s="10"/>
      <c r="X18" s="10"/>
      <c r="Y18" s="11"/>
      <c r="Z18" s="12"/>
      <c r="AA18" s="10"/>
      <c r="AB18" s="10"/>
      <c r="AC18" s="11"/>
      <c r="AD18" s="12"/>
      <c r="AE18" s="10"/>
      <c r="AF18" s="10"/>
      <c r="AG18" s="11"/>
      <c r="AH18" s="12"/>
      <c r="AI18" s="10"/>
      <c r="AJ18" s="10"/>
      <c r="AK18" s="11"/>
    </row>
    <row r="19" spans="2:37" s="30" customFormat="1" ht="18.75" thickBot="1" x14ac:dyDescent="0.3">
      <c r="B19" s="44"/>
      <c r="C19" s="56" t="s">
        <v>15</v>
      </c>
      <c r="D19" s="57"/>
      <c r="E19" s="58"/>
      <c r="F19" s="16"/>
      <c r="G19" s="17"/>
      <c r="H19" s="17"/>
      <c r="I19" s="18"/>
      <c r="J19" s="19"/>
      <c r="K19" s="20"/>
      <c r="L19" s="20"/>
      <c r="M19" s="21"/>
      <c r="N19" s="12"/>
      <c r="O19" s="10"/>
      <c r="P19" s="10"/>
      <c r="Q19" s="11"/>
      <c r="R19" s="12"/>
      <c r="S19" s="10"/>
      <c r="T19" s="10"/>
      <c r="U19" s="11"/>
      <c r="V19" s="12"/>
      <c r="W19" s="10"/>
      <c r="X19" s="10"/>
      <c r="Y19" s="11"/>
      <c r="Z19" s="12"/>
      <c r="AA19" s="10"/>
      <c r="AB19" s="10"/>
      <c r="AC19" s="11"/>
      <c r="AD19" s="12"/>
      <c r="AE19" s="10"/>
      <c r="AF19" s="10"/>
      <c r="AG19" s="11"/>
      <c r="AH19" s="12"/>
      <c r="AI19" s="10"/>
      <c r="AJ19" s="10"/>
      <c r="AK19" s="11"/>
    </row>
    <row r="20" spans="2:37" s="30" customFormat="1" ht="16.5" thickBot="1" x14ac:dyDescent="0.3">
      <c r="B20" s="31"/>
      <c r="C20" s="237" t="s">
        <v>44</v>
      </c>
      <c r="D20" s="49">
        <f>SUM(F20:AG20)</f>
        <v>5.2</v>
      </c>
      <c r="E20" s="50"/>
      <c r="F20" s="12"/>
      <c r="G20" s="10"/>
      <c r="H20" s="10"/>
      <c r="I20" s="11"/>
      <c r="J20" s="19">
        <f>SUM('Ch.G'!D10,St.G!D10,Be.P!D10,Su.S!D10)</f>
        <v>2.6</v>
      </c>
      <c r="K20" s="20">
        <f>SUM('Ch.G'!D10,St.G!D10,Be.P!D10,Su.S!D10)</f>
        <v>2.6</v>
      </c>
      <c r="L20" s="10"/>
      <c r="M20" s="11"/>
      <c r="N20" s="12"/>
      <c r="O20" s="10"/>
      <c r="P20" s="10"/>
      <c r="Q20" s="11"/>
      <c r="R20" s="12"/>
      <c r="S20" s="10"/>
      <c r="T20" s="10"/>
      <c r="U20" s="11"/>
      <c r="V20" s="12"/>
      <c r="W20" s="10"/>
      <c r="X20" s="10"/>
      <c r="Y20" s="11"/>
      <c r="Z20" s="12"/>
      <c r="AA20" s="10"/>
      <c r="AB20" s="10"/>
      <c r="AC20" s="11"/>
      <c r="AD20" s="12"/>
      <c r="AE20" s="10"/>
      <c r="AF20" s="10"/>
      <c r="AG20" s="11"/>
      <c r="AH20" s="12"/>
      <c r="AI20" s="10"/>
      <c r="AJ20" s="10"/>
      <c r="AK20" s="11"/>
    </row>
    <row r="21" spans="2:37" s="30" customFormat="1" ht="16.5" thickBot="1" x14ac:dyDescent="0.3">
      <c r="B21" s="31"/>
      <c r="C21" s="237"/>
      <c r="D21" s="51"/>
      <c r="E21" s="52">
        <f>SUM(F21:AG21)</f>
        <v>6</v>
      </c>
      <c r="F21" s="12"/>
      <c r="G21" s="10"/>
      <c r="H21" s="10"/>
      <c r="I21" s="11"/>
      <c r="J21" s="87">
        <f>SUM('Ch.G'!E10,St.G!E10,Be.P!E10,Su.S!E10)</f>
        <v>3</v>
      </c>
      <c r="K21" s="88">
        <f>SUM('Ch.G'!E10,St.G!E10,Be.P!E10,Su.S!E10)</f>
        <v>3</v>
      </c>
      <c r="L21" s="10"/>
      <c r="M21" s="11"/>
      <c r="N21" s="12"/>
      <c r="O21" s="10"/>
      <c r="P21" s="10"/>
      <c r="Q21" s="11"/>
      <c r="R21" s="12"/>
      <c r="S21" s="10"/>
      <c r="T21" s="10"/>
      <c r="U21" s="11"/>
      <c r="V21" s="12"/>
      <c r="W21" s="10"/>
      <c r="X21" s="10"/>
      <c r="Y21" s="11"/>
      <c r="Z21" s="12"/>
      <c r="AA21" s="10"/>
      <c r="AB21" s="10"/>
      <c r="AC21" s="11"/>
      <c r="AD21" s="12"/>
      <c r="AE21" s="10"/>
      <c r="AF21" s="10"/>
      <c r="AG21" s="11"/>
      <c r="AH21" s="12"/>
      <c r="AI21" s="10"/>
      <c r="AJ21" s="10"/>
      <c r="AK21" s="11"/>
    </row>
    <row r="22" spans="2:37" s="30" customFormat="1" ht="16.5" thickBot="1" x14ac:dyDescent="0.3">
      <c r="B22" s="31"/>
      <c r="C22" s="237" t="s">
        <v>43</v>
      </c>
      <c r="D22" s="49">
        <f>SUM(F22:AG22)</f>
        <v>5.2</v>
      </c>
      <c r="E22" s="50"/>
      <c r="F22" s="12"/>
      <c r="G22" s="10"/>
      <c r="H22" s="10"/>
      <c r="I22" s="11"/>
      <c r="J22" s="12"/>
      <c r="K22" s="20">
        <f>SUM('Ch.G'!D11,St.G!D11,Be.P!D11,Su.S!D11)</f>
        <v>2.6</v>
      </c>
      <c r="L22" s="20">
        <f>SUM('Ch.G'!D11,St.G!D11,Be.P!D11,Su.S!D11)</f>
        <v>2.6</v>
      </c>
      <c r="M22" s="11"/>
      <c r="N22" s="12"/>
      <c r="O22" s="10"/>
      <c r="P22" s="10"/>
      <c r="Q22" s="11"/>
      <c r="R22" s="12"/>
      <c r="S22" s="10"/>
      <c r="T22" s="10"/>
      <c r="U22" s="11"/>
      <c r="V22" s="12"/>
      <c r="W22" s="10"/>
      <c r="X22" s="10"/>
      <c r="Y22" s="11"/>
      <c r="Z22" s="12"/>
      <c r="AA22" s="10"/>
      <c r="AB22" s="10"/>
      <c r="AC22" s="11"/>
      <c r="AD22" s="12"/>
      <c r="AE22" s="10"/>
      <c r="AF22" s="10"/>
      <c r="AG22" s="11"/>
      <c r="AH22" s="12"/>
      <c r="AI22" s="10"/>
      <c r="AJ22" s="10"/>
      <c r="AK22" s="11"/>
    </row>
    <row r="23" spans="2:37" s="30" customFormat="1" ht="16.5" thickBot="1" x14ac:dyDescent="0.3">
      <c r="B23" s="31"/>
      <c r="C23" s="237"/>
      <c r="D23" s="51"/>
      <c r="E23" s="52">
        <f>SUM(F23:AG23)</f>
        <v>4</v>
      </c>
      <c r="F23" s="12"/>
      <c r="G23" s="10"/>
      <c r="H23" s="10"/>
      <c r="I23" s="11"/>
      <c r="J23" s="12"/>
      <c r="K23" s="88">
        <f>SUM('Ch.G'!E11,St.G!E11,Be.P!E11,Su.S!E11)</f>
        <v>2</v>
      </c>
      <c r="L23" s="88">
        <f>SUM('Ch.G'!E11,St.G!E11,Be.P!E11,Su.S!E11)</f>
        <v>2</v>
      </c>
      <c r="M23" s="11"/>
      <c r="N23" s="12"/>
      <c r="O23" s="10"/>
      <c r="P23" s="10"/>
      <c r="Q23" s="11"/>
      <c r="R23" s="12"/>
      <c r="S23" s="10"/>
      <c r="T23" s="10"/>
      <c r="U23" s="11"/>
      <c r="V23" s="12"/>
      <c r="W23" s="10"/>
      <c r="X23" s="10"/>
      <c r="Y23" s="11"/>
      <c r="Z23" s="12"/>
      <c r="AA23" s="10"/>
      <c r="AB23" s="10"/>
      <c r="AC23" s="11"/>
      <c r="AD23" s="12"/>
      <c r="AE23" s="10"/>
      <c r="AF23" s="10"/>
      <c r="AG23" s="11"/>
      <c r="AH23" s="12"/>
      <c r="AI23" s="10"/>
      <c r="AJ23" s="10"/>
      <c r="AK23" s="11"/>
    </row>
    <row r="24" spans="2:37" s="30" customFormat="1" ht="15.75" x14ac:dyDescent="0.25">
      <c r="B24" s="31"/>
      <c r="C24" s="238" t="s">
        <v>42</v>
      </c>
      <c r="D24" s="49">
        <f>SUM(F24:AG24)</f>
        <v>5.2</v>
      </c>
      <c r="E24" s="50"/>
      <c r="F24" s="12"/>
      <c r="G24" s="10"/>
      <c r="H24" s="10"/>
      <c r="I24" s="11"/>
      <c r="J24" s="12"/>
      <c r="K24" s="10"/>
      <c r="L24" s="20">
        <f>SUM('Ch.G'!D12,St.G!D12,Be.P!D12,Su.S!D12)</f>
        <v>2.6</v>
      </c>
      <c r="M24" s="21">
        <f>SUM('Ch.G'!D12,St.G!D12,Be.P!D12,Su.S!D12)</f>
        <v>2.6</v>
      </c>
      <c r="N24" s="12"/>
      <c r="O24" s="10"/>
      <c r="P24" s="10"/>
      <c r="Q24" s="11"/>
      <c r="R24" s="12"/>
      <c r="S24" s="10"/>
      <c r="T24" s="10"/>
      <c r="U24" s="11"/>
      <c r="V24" s="12"/>
      <c r="W24" s="10"/>
      <c r="X24" s="10"/>
      <c r="Y24" s="11"/>
      <c r="Z24" s="12"/>
      <c r="AA24" s="10"/>
      <c r="AB24" s="10"/>
      <c r="AC24" s="11"/>
      <c r="AD24" s="12"/>
      <c r="AE24" s="10"/>
      <c r="AF24" s="10"/>
      <c r="AG24" s="11"/>
      <c r="AH24" s="12"/>
      <c r="AI24" s="10"/>
      <c r="AJ24" s="10"/>
      <c r="AK24" s="11"/>
    </row>
    <row r="25" spans="2:37" s="30" customFormat="1" ht="16.5" thickBot="1" x14ac:dyDescent="0.3">
      <c r="B25" s="31"/>
      <c r="C25" s="239"/>
      <c r="D25" s="51"/>
      <c r="E25" s="52">
        <f>SUM(F25:AG25)</f>
        <v>6</v>
      </c>
      <c r="F25" s="12"/>
      <c r="G25" s="10"/>
      <c r="H25" s="10"/>
      <c r="I25" s="11"/>
      <c r="J25" s="12"/>
      <c r="K25" s="10"/>
      <c r="L25" s="88">
        <f>SUM('Ch.G'!E12,St.G!E12,Be.P!E12,Su.S!E12)</f>
        <v>3</v>
      </c>
      <c r="M25" s="90">
        <f>SUM('Ch.G'!E12,St.G!E12,Be.P!E12,Su.S!E12)</f>
        <v>3</v>
      </c>
      <c r="N25" s="12"/>
      <c r="O25" s="10"/>
      <c r="P25" s="10"/>
      <c r="Q25" s="11"/>
      <c r="R25" s="12"/>
      <c r="S25" s="10"/>
      <c r="T25" s="10"/>
      <c r="U25" s="11"/>
      <c r="V25" s="12"/>
      <c r="W25" s="10"/>
      <c r="X25" s="10"/>
      <c r="Y25" s="11"/>
      <c r="Z25" s="12"/>
      <c r="AA25" s="10"/>
      <c r="AB25" s="10"/>
      <c r="AC25" s="11"/>
      <c r="AD25" s="12"/>
      <c r="AE25" s="10"/>
      <c r="AF25" s="10"/>
      <c r="AG25" s="11"/>
      <c r="AH25" s="12"/>
      <c r="AI25" s="10"/>
      <c r="AJ25" s="10"/>
      <c r="AK25" s="11"/>
    </row>
    <row r="26" spans="2:37" s="30" customFormat="1" ht="16.5" thickBot="1" x14ac:dyDescent="0.3">
      <c r="B26" s="31"/>
      <c r="C26" s="237" t="s">
        <v>41</v>
      </c>
      <c r="D26" s="49">
        <f>SUM(F26:AG26)</f>
        <v>2.6</v>
      </c>
      <c r="E26" s="50"/>
      <c r="F26" s="12"/>
      <c r="G26" s="10"/>
      <c r="H26" s="10"/>
      <c r="I26" s="11"/>
      <c r="J26" s="12"/>
      <c r="K26" s="10"/>
      <c r="L26" s="10"/>
      <c r="M26" s="21">
        <f>SUM('Ch.G'!D13,St.G!D13,Be.P!D13,Su.S!D13)</f>
        <v>2.6</v>
      </c>
      <c r="N26" s="12"/>
      <c r="O26" s="10"/>
      <c r="P26" s="10"/>
      <c r="Q26" s="11"/>
      <c r="R26" s="12"/>
      <c r="S26" s="10"/>
      <c r="T26" s="10"/>
      <c r="U26" s="11"/>
      <c r="V26" s="12"/>
      <c r="W26" s="10"/>
      <c r="X26" s="10"/>
      <c r="Y26" s="11"/>
      <c r="Z26" s="12"/>
      <c r="AA26" s="10"/>
      <c r="AB26" s="10"/>
      <c r="AC26" s="11"/>
      <c r="AD26" s="12"/>
      <c r="AE26" s="10"/>
      <c r="AF26" s="10"/>
      <c r="AG26" s="11"/>
      <c r="AH26" s="12"/>
      <c r="AI26" s="10"/>
      <c r="AJ26" s="10"/>
      <c r="AK26" s="11"/>
    </row>
    <row r="27" spans="2:37" s="30" customFormat="1" ht="16.5" thickBot="1" x14ac:dyDescent="0.3">
      <c r="B27" s="31"/>
      <c r="C27" s="237"/>
      <c r="D27" s="51"/>
      <c r="E27" s="52">
        <f>SUM(F27:AG27)</f>
        <v>4</v>
      </c>
      <c r="F27" s="12"/>
      <c r="G27" s="10"/>
      <c r="H27" s="10"/>
      <c r="I27" s="11"/>
      <c r="J27" s="12"/>
      <c r="K27" s="10"/>
      <c r="L27" s="10"/>
      <c r="M27" s="90">
        <f>SUM('Ch.G'!E13,St.G!E13,Be.P!E13,Su.S!E13)</f>
        <v>4</v>
      </c>
      <c r="N27" s="12"/>
      <c r="O27" s="10"/>
      <c r="P27" s="10"/>
      <c r="Q27" s="11"/>
      <c r="R27" s="12"/>
      <c r="S27" s="10"/>
      <c r="T27" s="10"/>
      <c r="U27" s="11"/>
      <c r="V27" s="12"/>
      <c r="W27" s="10"/>
      <c r="X27" s="10"/>
      <c r="Y27" s="11"/>
      <c r="Z27" s="12"/>
      <c r="AA27" s="10"/>
      <c r="AB27" s="10"/>
      <c r="AC27" s="11"/>
      <c r="AD27" s="12"/>
      <c r="AE27" s="10"/>
      <c r="AF27" s="10"/>
      <c r="AG27" s="11"/>
      <c r="AH27" s="12"/>
      <c r="AI27" s="10"/>
      <c r="AJ27" s="10"/>
      <c r="AK27" s="11"/>
    </row>
    <row r="28" spans="2:37" s="30" customFormat="1" ht="16.5" thickBot="1" x14ac:dyDescent="0.3">
      <c r="B28" s="31"/>
      <c r="C28" s="237" t="s">
        <v>40</v>
      </c>
      <c r="D28" s="49">
        <f>SUM(F28:AG28)</f>
        <v>2.6</v>
      </c>
      <c r="E28" s="50"/>
      <c r="F28" s="12"/>
      <c r="G28" s="10"/>
      <c r="H28" s="10"/>
      <c r="I28" s="11"/>
      <c r="J28" s="12"/>
      <c r="K28" s="10"/>
      <c r="L28" s="10"/>
      <c r="M28" s="21">
        <f>SUM('Ch.G'!D14,St.G!D14,Be.P!D14,Su.S!D14)</f>
        <v>2.6</v>
      </c>
      <c r="N28" s="12"/>
      <c r="O28" s="10"/>
      <c r="P28" s="10"/>
      <c r="Q28" s="11"/>
      <c r="R28" s="12"/>
      <c r="S28" s="10"/>
      <c r="T28" s="10"/>
      <c r="U28" s="11"/>
      <c r="V28" s="12"/>
      <c r="W28" s="10"/>
      <c r="X28" s="10"/>
      <c r="Y28" s="11"/>
      <c r="Z28" s="12"/>
      <c r="AA28" s="10"/>
      <c r="AB28" s="10"/>
      <c r="AC28" s="11"/>
      <c r="AD28" s="12"/>
      <c r="AE28" s="10"/>
      <c r="AF28" s="10"/>
      <c r="AG28" s="11"/>
      <c r="AH28" s="12"/>
      <c r="AI28" s="10"/>
      <c r="AJ28" s="10"/>
      <c r="AK28" s="11"/>
    </row>
    <row r="29" spans="2:37" s="30" customFormat="1" ht="16.5" thickBot="1" x14ac:dyDescent="0.3">
      <c r="B29" s="31"/>
      <c r="C29" s="237"/>
      <c r="D29" s="51"/>
      <c r="E29" s="52">
        <f>SUM(F29:AG29)</f>
        <v>4</v>
      </c>
      <c r="F29" s="12"/>
      <c r="G29" s="10"/>
      <c r="H29" s="10"/>
      <c r="I29" s="11"/>
      <c r="J29" s="12"/>
      <c r="K29" s="10"/>
      <c r="L29" s="10"/>
      <c r="M29" s="90">
        <f>SUM('Ch.G'!E14,St.G!E14,Be.P!E14,Su.S!E14)</f>
        <v>4</v>
      </c>
      <c r="N29" s="12"/>
      <c r="O29" s="10"/>
      <c r="P29" s="10"/>
      <c r="Q29" s="11"/>
      <c r="R29" s="12"/>
      <c r="S29" s="10"/>
      <c r="T29" s="10"/>
      <c r="U29" s="11"/>
      <c r="V29" s="12"/>
      <c r="W29" s="10"/>
      <c r="X29" s="10"/>
      <c r="Y29" s="11"/>
      <c r="Z29" s="12"/>
      <c r="AA29" s="10"/>
      <c r="AB29" s="10"/>
      <c r="AC29" s="11"/>
      <c r="AD29" s="12"/>
      <c r="AE29" s="10"/>
      <c r="AF29" s="10"/>
      <c r="AG29" s="11"/>
      <c r="AH29" s="12"/>
      <c r="AI29" s="10"/>
      <c r="AJ29" s="10"/>
      <c r="AK29" s="11"/>
    </row>
    <row r="30" spans="2:37" s="30" customFormat="1" ht="18.75" thickBot="1" x14ac:dyDescent="0.3">
      <c r="B30" s="31"/>
      <c r="C30" s="53"/>
      <c r="D30" s="54"/>
      <c r="E30" s="55"/>
      <c r="F30" s="12"/>
      <c r="G30" s="10"/>
      <c r="H30" s="10"/>
      <c r="I30" s="11"/>
      <c r="J30" s="12"/>
      <c r="K30" s="10"/>
      <c r="L30" s="10"/>
      <c r="M30" s="11"/>
      <c r="N30" s="12"/>
      <c r="O30" s="10"/>
      <c r="P30" s="10"/>
      <c r="Q30" s="11"/>
      <c r="R30" s="12"/>
      <c r="S30" s="10"/>
      <c r="T30" s="10"/>
      <c r="U30" s="11"/>
      <c r="V30" s="12"/>
      <c r="W30" s="10"/>
      <c r="X30" s="10"/>
      <c r="Y30" s="11"/>
      <c r="Z30" s="12"/>
      <c r="AA30" s="10"/>
      <c r="AB30" s="10"/>
      <c r="AC30" s="11"/>
      <c r="AD30" s="12"/>
      <c r="AE30" s="10"/>
      <c r="AF30" s="10"/>
      <c r="AG30" s="11"/>
      <c r="AH30" s="12"/>
      <c r="AI30" s="10"/>
      <c r="AJ30" s="10"/>
      <c r="AK30" s="11"/>
    </row>
    <row r="31" spans="2:37" s="30" customFormat="1" ht="18.75" thickBot="1" x14ac:dyDescent="0.3">
      <c r="B31" s="44"/>
      <c r="C31" s="56" t="s">
        <v>16</v>
      </c>
      <c r="D31" s="57"/>
      <c r="E31" s="58"/>
      <c r="F31" s="16"/>
      <c r="G31" s="17"/>
      <c r="H31" s="17"/>
      <c r="I31" s="18"/>
      <c r="J31" s="16"/>
      <c r="K31" s="17"/>
      <c r="L31" s="17"/>
      <c r="M31" s="18"/>
      <c r="N31" s="22"/>
      <c r="O31" s="23"/>
      <c r="P31" s="23"/>
      <c r="Q31" s="24"/>
      <c r="R31" s="22"/>
      <c r="S31" s="23"/>
      <c r="T31" s="23"/>
      <c r="U31" s="24"/>
      <c r="V31" s="12"/>
      <c r="W31" s="10"/>
      <c r="X31" s="10"/>
      <c r="Y31" s="10"/>
      <c r="Z31" s="12"/>
      <c r="AA31" s="10"/>
      <c r="AB31" s="10"/>
      <c r="AC31" s="10"/>
      <c r="AD31" s="12"/>
      <c r="AE31" s="10"/>
      <c r="AF31" s="12"/>
      <c r="AG31" s="10"/>
      <c r="AH31" s="12"/>
      <c r="AI31" s="10"/>
      <c r="AJ31" s="12"/>
      <c r="AK31" s="10"/>
    </row>
    <row r="32" spans="2:37" s="30" customFormat="1" ht="16.5" thickBot="1" x14ac:dyDescent="0.3">
      <c r="B32" s="31"/>
      <c r="C32" s="237" t="s">
        <v>39</v>
      </c>
      <c r="D32" s="49">
        <f>SUM(F32:AG32)</f>
        <v>8</v>
      </c>
      <c r="E32" s="50"/>
      <c r="F32" s="12"/>
      <c r="G32" s="10"/>
      <c r="H32" s="10"/>
      <c r="I32" s="11"/>
      <c r="J32" s="12"/>
      <c r="K32" s="10"/>
      <c r="L32" s="10"/>
      <c r="M32" s="11"/>
      <c r="N32" s="22">
        <f>SUM('Ch.G'!D16,St.G!D16,Be.P!D16,Su.S!D16)</f>
        <v>4</v>
      </c>
      <c r="O32" s="23">
        <f>SUM('Ch.G'!D16,St.G!D16,Be.P!D16,Su.S!D16)</f>
        <v>4</v>
      </c>
      <c r="P32" s="10"/>
      <c r="Q32" s="11"/>
      <c r="R32" s="12"/>
      <c r="S32" s="10"/>
      <c r="T32" s="10"/>
      <c r="U32" s="11"/>
      <c r="V32" s="12"/>
      <c r="W32" s="10"/>
      <c r="X32" s="10"/>
      <c r="Y32" s="10"/>
      <c r="Z32" s="12"/>
      <c r="AA32" s="10"/>
      <c r="AB32" s="10"/>
      <c r="AC32" s="10"/>
      <c r="AD32" s="12"/>
      <c r="AE32" s="10"/>
      <c r="AF32" s="12"/>
      <c r="AG32" s="10"/>
      <c r="AH32" s="12"/>
      <c r="AI32" s="10"/>
      <c r="AJ32" s="12"/>
      <c r="AK32" s="10"/>
    </row>
    <row r="33" spans="2:37" s="30" customFormat="1" ht="16.5" thickBot="1" x14ac:dyDescent="0.3">
      <c r="B33" s="31"/>
      <c r="C33" s="237"/>
      <c r="D33" s="51"/>
      <c r="E33" s="52">
        <f>SUM(F33:AG33)</f>
        <v>0</v>
      </c>
      <c r="F33" s="12"/>
      <c r="G33" s="10"/>
      <c r="H33" s="10"/>
      <c r="I33" s="11"/>
      <c r="J33" s="12"/>
      <c r="K33" s="10"/>
      <c r="L33" s="10"/>
      <c r="M33" s="11"/>
      <c r="N33" s="87">
        <f>SUM('Ch.G'!E16,St.G!E16,Be.P!E16,Su.S!E16)</f>
        <v>0</v>
      </c>
      <c r="O33" s="88">
        <f>SUM('Ch.G'!E16,St.G!E16,Be.P!E16,Su.S!E16)</f>
        <v>0</v>
      </c>
      <c r="P33" s="10"/>
      <c r="Q33" s="11"/>
      <c r="R33" s="12"/>
      <c r="S33" s="10"/>
      <c r="T33" s="10"/>
      <c r="U33" s="11"/>
      <c r="V33" s="12"/>
      <c r="W33" s="10"/>
      <c r="X33" s="10"/>
      <c r="Y33" s="10"/>
      <c r="Z33" s="12"/>
      <c r="AA33" s="10"/>
      <c r="AB33" s="10"/>
      <c r="AC33" s="10"/>
      <c r="AD33" s="12"/>
      <c r="AE33" s="10"/>
      <c r="AF33" s="12"/>
      <c r="AG33" s="10"/>
      <c r="AH33" s="12"/>
      <c r="AI33" s="10"/>
      <c r="AJ33" s="12"/>
      <c r="AK33" s="10"/>
    </row>
    <row r="34" spans="2:37" s="30" customFormat="1" ht="18" customHeight="1" thickBot="1" x14ac:dyDescent="0.3">
      <c r="B34" s="31"/>
      <c r="C34" s="237" t="s">
        <v>17</v>
      </c>
      <c r="D34" s="49">
        <f>SUM(F34:AG34)</f>
        <v>12</v>
      </c>
      <c r="E34" s="50"/>
      <c r="F34" s="12"/>
      <c r="G34" s="10"/>
      <c r="H34" s="10"/>
      <c r="I34" s="11"/>
      <c r="J34" s="12"/>
      <c r="K34" s="10"/>
      <c r="L34" s="10"/>
      <c r="M34" s="11"/>
      <c r="N34" s="12"/>
      <c r="O34" s="23">
        <f>SUM('Ch.G'!D17,St.G!D17,Be.P!D17,Su.S!D17)</f>
        <v>4</v>
      </c>
      <c r="P34" s="23">
        <f>SUM('Ch.G'!D17,St.G!D17,Be.P!D17,Su.S!D17)</f>
        <v>4</v>
      </c>
      <c r="Q34" s="24">
        <f>SUM('Ch.G'!D17,St.G!D17,Be.P!D17,Su.S!D17)</f>
        <v>4</v>
      </c>
      <c r="R34" s="12"/>
      <c r="S34" s="10"/>
      <c r="T34" s="10"/>
      <c r="U34" s="11"/>
      <c r="V34" s="12"/>
      <c r="W34" s="10"/>
      <c r="X34" s="10"/>
      <c r="Y34" s="10"/>
      <c r="Z34" s="12"/>
      <c r="AA34" s="10"/>
      <c r="AB34" s="10"/>
      <c r="AC34" s="10"/>
      <c r="AD34" s="12"/>
      <c r="AE34" s="10"/>
      <c r="AF34" s="12"/>
      <c r="AG34" s="10"/>
      <c r="AH34" s="12"/>
      <c r="AI34" s="10"/>
      <c r="AJ34" s="12"/>
      <c r="AK34" s="10"/>
    </row>
    <row r="35" spans="2:37" s="30" customFormat="1" ht="16.5" thickBot="1" x14ac:dyDescent="0.3">
      <c r="B35" s="31"/>
      <c r="C35" s="237"/>
      <c r="D35" s="51"/>
      <c r="E35" s="52">
        <f>SUM(F35:AG35)</f>
        <v>0</v>
      </c>
      <c r="F35" s="12"/>
      <c r="G35" s="10"/>
      <c r="H35" s="10"/>
      <c r="I35" s="11"/>
      <c r="J35" s="12"/>
      <c r="K35" s="10"/>
      <c r="L35" s="10"/>
      <c r="M35" s="11"/>
      <c r="N35" s="12"/>
      <c r="O35" s="88">
        <f>SUM('Ch.G'!E17,St.G!E17,Be.P!E17,Su.S!E17)</f>
        <v>0</v>
      </c>
      <c r="P35" s="88">
        <f>SUM('Ch.G'!E17,St.G!E17,Be.P!E17,Su.S!E17)</f>
        <v>0</v>
      </c>
      <c r="Q35" s="90">
        <f>SUM('Ch.G'!E17,St.G!E17,Be.P!E17,Su.S!E17)</f>
        <v>0</v>
      </c>
      <c r="R35" s="12"/>
      <c r="S35" s="10"/>
      <c r="T35" s="10"/>
      <c r="U35" s="11"/>
      <c r="V35" s="12"/>
      <c r="W35" s="10"/>
      <c r="X35" s="10"/>
      <c r="Y35" s="10"/>
      <c r="Z35" s="12"/>
      <c r="AA35" s="10"/>
      <c r="AB35" s="10"/>
      <c r="AC35" s="10"/>
      <c r="AD35" s="12"/>
      <c r="AE35" s="10"/>
      <c r="AF35" s="12"/>
      <c r="AG35" s="10"/>
      <c r="AH35" s="12"/>
      <c r="AI35" s="10"/>
      <c r="AJ35" s="12"/>
      <c r="AK35" s="10"/>
    </row>
    <row r="36" spans="2:37" s="30" customFormat="1" ht="17.25" customHeight="1" thickBot="1" x14ac:dyDescent="0.3">
      <c r="B36" s="31"/>
      <c r="C36" s="237" t="s">
        <v>38</v>
      </c>
      <c r="D36" s="49">
        <f>SUM(F36:AG36)</f>
        <v>20</v>
      </c>
      <c r="E36" s="50"/>
      <c r="F36" s="12"/>
      <c r="G36" s="10"/>
      <c r="H36" s="10"/>
      <c r="I36" s="11"/>
      <c r="J36" s="12"/>
      <c r="K36" s="10"/>
      <c r="L36" s="10"/>
      <c r="M36" s="11"/>
      <c r="N36" s="12"/>
      <c r="O36" s="23">
        <f>SUM('Ch.G'!D18,St.G!D18,Be.P!D18,Su.S!D18)</f>
        <v>4</v>
      </c>
      <c r="P36" s="23">
        <f>SUM('Ch.G'!D18,St.G!D18,Be.P!D18,Su.S!D18)</f>
        <v>4</v>
      </c>
      <c r="Q36" s="24">
        <f>SUM('Ch.G'!D18,St.G!D18,Be.P!D18,Su.S!D18)</f>
        <v>4</v>
      </c>
      <c r="R36" s="22">
        <f>SUM('Ch.G'!D18,St.G!D18,Be.P!D18,Su.S!D18)</f>
        <v>4</v>
      </c>
      <c r="S36" s="23">
        <f>SUM('Ch.G'!D18,St.G!D18,Be.P!D18,Su.S!D18)</f>
        <v>4</v>
      </c>
      <c r="T36" s="10"/>
      <c r="U36" s="11"/>
      <c r="V36" s="12"/>
      <c r="W36" s="10"/>
      <c r="X36" s="10"/>
      <c r="Y36" s="10"/>
      <c r="Z36" s="12"/>
      <c r="AA36" s="10"/>
      <c r="AB36" s="10"/>
      <c r="AC36" s="10"/>
      <c r="AD36" s="12"/>
      <c r="AE36" s="10"/>
      <c r="AF36" s="12"/>
      <c r="AG36" s="10"/>
      <c r="AH36" s="12"/>
      <c r="AI36" s="10"/>
      <c r="AJ36" s="12"/>
      <c r="AK36" s="10"/>
    </row>
    <row r="37" spans="2:37" s="30" customFormat="1" ht="16.5" thickBot="1" x14ac:dyDescent="0.3">
      <c r="B37" s="31"/>
      <c r="C37" s="237"/>
      <c r="D37" s="51"/>
      <c r="E37" s="52">
        <f>SUM(F37:AG37)</f>
        <v>0</v>
      </c>
      <c r="F37" s="12"/>
      <c r="G37" s="10"/>
      <c r="H37" s="10"/>
      <c r="I37" s="11"/>
      <c r="J37" s="12"/>
      <c r="K37" s="10"/>
      <c r="L37" s="10"/>
      <c r="M37" s="11"/>
      <c r="N37" s="12"/>
      <c r="O37" s="88">
        <f>SUM('Ch.G'!E18,St.G!E18,Be.P!E18,Su.S!E18)</f>
        <v>0</v>
      </c>
      <c r="P37" s="88">
        <f>SUM('Ch.G'!E18,St.G!E18,Be.P!E18,Su.S!E18)</f>
        <v>0</v>
      </c>
      <c r="Q37" s="90">
        <f>SUM('Ch.G'!E18,St.G!E18,Be.P!E18,Su.S!E18)</f>
        <v>0</v>
      </c>
      <c r="R37" s="87">
        <f>SUM('Ch.G'!E18,St.G!E18,Be.P!E18,Su.S!E18)</f>
        <v>0</v>
      </c>
      <c r="S37" s="88">
        <f>SUM('Ch.G'!E18,St.G!E18,Be.P!E18,Su.S!E18)</f>
        <v>0</v>
      </c>
      <c r="T37" s="10"/>
      <c r="U37" s="11"/>
      <c r="V37" s="12"/>
      <c r="W37" s="10"/>
      <c r="X37" s="10"/>
      <c r="Y37" s="10"/>
      <c r="Z37" s="12"/>
      <c r="AA37" s="10"/>
      <c r="AB37" s="10"/>
      <c r="AC37" s="10"/>
      <c r="AD37" s="12"/>
      <c r="AE37" s="10"/>
      <c r="AF37" s="12"/>
      <c r="AG37" s="10"/>
      <c r="AH37" s="12"/>
      <c r="AI37" s="10"/>
      <c r="AJ37" s="12"/>
      <c r="AK37" s="10"/>
    </row>
    <row r="38" spans="2:37" s="30" customFormat="1" ht="16.5" thickBot="1" x14ac:dyDescent="0.3">
      <c r="B38" s="31"/>
      <c r="C38" s="237" t="s">
        <v>37</v>
      </c>
      <c r="D38" s="49">
        <f>SUM(F38:AG38)</f>
        <v>0</v>
      </c>
      <c r="E38" s="50"/>
      <c r="F38" s="12"/>
      <c r="G38" s="10"/>
      <c r="H38" s="10"/>
      <c r="I38" s="11"/>
      <c r="J38" s="12"/>
      <c r="K38" s="10"/>
      <c r="L38" s="10"/>
      <c r="M38" s="11"/>
      <c r="N38" s="12"/>
      <c r="O38" s="10"/>
      <c r="P38" s="10"/>
      <c r="Q38" s="10"/>
      <c r="R38" s="12"/>
      <c r="S38" s="10"/>
      <c r="T38" s="23">
        <f>SUM('Ch.G'!E19,St.G!E19,Be.P!E19,Su.S!E19)</f>
        <v>0</v>
      </c>
      <c r="U38" s="24">
        <f>SUM('Ch.G'!E19,St.G!E19,Be.P!E19,Su.S!E19)</f>
        <v>0</v>
      </c>
      <c r="V38" s="12"/>
      <c r="W38" s="10"/>
      <c r="X38" s="10"/>
      <c r="Y38" s="10"/>
      <c r="Z38" s="12"/>
      <c r="AA38" s="10"/>
      <c r="AB38" s="10"/>
      <c r="AC38" s="10"/>
      <c r="AD38" s="12"/>
      <c r="AE38" s="10"/>
      <c r="AF38" s="12"/>
      <c r="AG38" s="10"/>
      <c r="AH38" s="12"/>
      <c r="AI38" s="10"/>
      <c r="AJ38" s="12"/>
      <c r="AK38" s="10"/>
    </row>
    <row r="39" spans="2:37" s="30" customFormat="1" ht="16.5" thickBot="1" x14ac:dyDescent="0.3">
      <c r="B39" s="31"/>
      <c r="C39" s="237"/>
      <c r="D39" s="51"/>
      <c r="E39" s="52">
        <f>SUM(F39:AG39)</f>
        <v>8</v>
      </c>
      <c r="F39" s="12"/>
      <c r="G39" s="10"/>
      <c r="H39" s="10"/>
      <c r="I39" s="11"/>
      <c r="J39" s="12"/>
      <c r="K39" s="10"/>
      <c r="L39" s="10"/>
      <c r="M39" s="11"/>
      <c r="N39" s="12"/>
      <c r="O39" s="10"/>
      <c r="P39" s="10"/>
      <c r="Q39" s="10"/>
      <c r="R39" s="12"/>
      <c r="S39" s="10"/>
      <c r="T39" s="88">
        <f>SUM('Ch.G'!D19,St.G!D19,Be.P!D19,Su.S!D19)</f>
        <v>4</v>
      </c>
      <c r="U39" s="90">
        <f>SUM('Ch.G'!D19,St.G!D19,Be.P!D19,Su.S!D19)</f>
        <v>4</v>
      </c>
      <c r="V39" s="12"/>
      <c r="W39" s="10"/>
      <c r="X39" s="10"/>
      <c r="Y39" s="10"/>
      <c r="Z39" s="12"/>
      <c r="AA39" s="10"/>
      <c r="AB39" s="10"/>
      <c r="AC39" s="10"/>
      <c r="AD39" s="12"/>
      <c r="AE39" s="10"/>
      <c r="AF39" s="12"/>
      <c r="AG39" s="10"/>
      <c r="AH39" s="12"/>
      <c r="AI39" s="10"/>
      <c r="AJ39" s="12"/>
      <c r="AK39" s="10"/>
    </row>
    <row r="40" spans="2:37" s="30" customFormat="1" ht="18.75" thickBot="1" x14ac:dyDescent="0.3">
      <c r="B40" s="31"/>
      <c r="C40" s="53"/>
      <c r="D40" s="54"/>
      <c r="E40" s="55"/>
      <c r="F40" s="12"/>
      <c r="G40" s="10"/>
      <c r="H40" s="10"/>
      <c r="I40" s="11"/>
      <c r="J40" s="12"/>
      <c r="K40" s="10"/>
      <c r="L40" s="10"/>
      <c r="M40" s="11"/>
      <c r="N40" s="12"/>
      <c r="O40" s="10"/>
      <c r="P40" s="10"/>
      <c r="Q40" s="11"/>
      <c r="R40" s="12"/>
      <c r="S40" s="10"/>
      <c r="T40" s="12"/>
      <c r="U40" s="10"/>
      <c r="V40" s="12"/>
      <c r="W40" s="10"/>
      <c r="X40" s="10"/>
      <c r="Y40" s="10"/>
      <c r="Z40" s="12"/>
      <c r="AA40" s="10"/>
      <c r="AB40" s="10"/>
      <c r="AC40" s="10"/>
      <c r="AD40" s="12"/>
      <c r="AE40" s="10"/>
      <c r="AF40" s="12"/>
      <c r="AG40" s="10"/>
      <c r="AH40" s="12"/>
      <c r="AI40" s="10"/>
      <c r="AJ40" s="12"/>
      <c r="AK40" s="10"/>
    </row>
    <row r="41" spans="2:37" s="30" customFormat="1" ht="18.75" thickBot="1" x14ac:dyDescent="0.3">
      <c r="B41" s="44"/>
      <c r="C41" s="56" t="s">
        <v>18</v>
      </c>
      <c r="D41" s="57"/>
      <c r="E41" s="58"/>
      <c r="F41" s="16"/>
      <c r="G41" s="17"/>
      <c r="H41" s="17"/>
      <c r="I41" s="18"/>
      <c r="J41" s="16"/>
      <c r="K41" s="17"/>
      <c r="L41" s="17"/>
      <c r="M41" s="18"/>
      <c r="N41" s="16"/>
      <c r="O41" s="17"/>
      <c r="P41" s="17"/>
      <c r="Q41" s="18"/>
      <c r="R41" s="16"/>
      <c r="S41" s="17"/>
      <c r="T41" s="17"/>
      <c r="U41" s="18"/>
      <c r="V41" s="95"/>
      <c r="W41" s="92"/>
      <c r="X41" s="92"/>
      <c r="Y41" s="96"/>
      <c r="Z41" s="95"/>
      <c r="AA41" s="92"/>
      <c r="AB41" s="92"/>
      <c r="AC41" s="96"/>
      <c r="AD41" s="12"/>
      <c r="AE41" s="10"/>
      <c r="AF41" s="10"/>
      <c r="AG41" s="11"/>
      <c r="AH41" s="12"/>
      <c r="AI41" s="10"/>
      <c r="AJ41" s="10"/>
      <c r="AK41" s="11"/>
    </row>
    <row r="42" spans="2:37" s="30" customFormat="1" ht="16.5" thickBot="1" x14ac:dyDescent="0.3">
      <c r="B42" s="31"/>
      <c r="C42" s="237" t="s">
        <v>36</v>
      </c>
      <c r="D42" s="49">
        <f>SUM(F42:AG42)</f>
        <v>0.4</v>
      </c>
      <c r="E42" s="50"/>
      <c r="F42" s="12"/>
      <c r="G42" s="10"/>
      <c r="H42" s="10"/>
      <c r="I42" s="11"/>
      <c r="J42" s="12"/>
      <c r="K42" s="10"/>
      <c r="L42" s="10"/>
      <c r="M42" s="11"/>
      <c r="N42" s="12"/>
      <c r="O42" s="10"/>
      <c r="P42" s="10"/>
      <c r="Q42" s="11"/>
      <c r="R42" s="12"/>
      <c r="S42" s="10"/>
      <c r="T42" s="10"/>
      <c r="U42" s="11"/>
      <c r="V42" s="95">
        <v>0.4</v>
      </c>
      <c r="W42" s="10"/>
      <c r="X42" s="10"/>
      <c r="Y42" s="11"/>
      <c r="Z42" s="12"/>
      <c r="AA42" s="10"/>
      <c r="AB42" s="10"/>
      <c r="AC42" s="11"/>
      <c r="AD42" s="12"/>
      <c r="AE42" s="10"/>
      <c r="AF42" s="10"/>
      <c r="AG42" s="11"/>
      <c r="AH42" s="12"/>
      <c r="AI42" s="10"/>
      <c r="AJ42" s="10"/>
      <c r="AK42" s="11"/>
    </row>
    <row r="43" spans="2:37" s="30" customFormat="1" ht="16.5" thickBot="1" x14ac:dyDescent="0.3">
      <c r="B43" s="31"/>
      <c r="C43" s="237"/>
      <c r="D43" s="51"/>
      <c r="E43" s="52">
        <f>SUM(F43:AG43)</f>
        <v>0</v>
      </c>
      <c r="F43" s="12"/>
      <c r="G43" s="10"/>
      <c r="H43" s="10"/>
      <c r="I43" s="11"/>
      <c r="J43" s="12"/>
      <c r="K43" s="10"/>
      <c r="L43" s="10"/>
      <c r="M43" s="11"/>
      <c r="N43" s="12"/>
      <c r="O43" s="10"/>
      <c r="P43" s="10"/>
      <c r="Q43" s="11"/>
      <c r="R43" s="12"/>
      <c r="S43" s="10"/>
      <c r="T43" s="10"/>
      <c r="U43" s="11"/>
      <c r="V43" s="87"/>
      <c r="W43" s="10"/>
      <c r="X43" s="10"/>
      <c r="Y43" s="11"/>
      <c r="Z43" s="12"/>
      <c r="AA43" s="10"/>
      <c r="AB43" s="10"/>
      <c r="AC43" s="11"/>
      <c r="AD43" s="12"/>
      <c r="AE43" s="10"/>
      <c r="AF43" s="10"/>
      <c r="AG43" s="11"/>
      <c r="AH43" s="12"/>
      <c r="AI43" s="10"/>
      <c r="AJ43" s="10"/>
      <c r="AK43" s="11"/>
    </row>
    <row r="44" spans="2:37" s="30" customFormat="1" ht="18" customHeight="1" x14ac:dyDescent="0.25">
      <c r="B44" s="31"/>
      <c r="C44" s="247" t="s">
        <v>35</v>
      </c>
      <c r="D44" s="94">
        <f>SUM(F44:AG44)</f>
        <v>0.4</v>
      </c>
      <c r="E44" s="93"/>
      <c r="F44" s="12"/>
      <c r="G44" s="10"/>
      <c r="H44" s="10"/>
      <c r="I44" s="11"/>
      <c r="J44" s="12"/>
      <c r="K44" s="10"/>
      <c r="L44" s="10"/>
      <c r="M44" s="11"/>
      <c r="N44" s="12"/>
      <c r="O44" s="10"/>
      <c r="P44" s="10"/>
      <c r="Q44" s="11"/>
      <c r="R44" s="12"/>
      <c r="S44" s="10"/>
      <c r="T44" s="10"/>
      <c r="U44" s="11"/>
      <c r="V44" s="12"/>
      <c r="W44" s="92">
        <v>0.4</v>
      </c>
      <c r="X44" s="10"/>
      <c r="Y44" s="11"/>
      <c r="Z44" s="12"/>
      <c r="AA44" s="10"/>
      <c r="AB44" s="10"/>
      <c r="AC44" s="11"/>
      <c r="AD44" s="12"/>
      <c r="AE44" s="10"/>
      <c r="AF44" s="10"/>
      <c r="AG44" s="11"/>
      <c r="AH44" s="12"/>
      <c r="AI44" s="10"/>
      <c r="AJ44" s="10"/>
      <c r="AK44" s="11"/>
    </row>
    <row r="45" spans="2:37" s="30" customFormat="1" ht="16.5" customHeight="1" thickBot="1" x14ac:dyDescent="0.3">
      <c r="B45" s="31"/>
      <c r="C45" s="248"/>
      <c r="D45" s="94"/>
      <c r="E45" s="93">
        <f>SUM(F45:AG45)</f>
        <v>0</v>
      </c>
      <c r="F45" s="12"/>
      <c r="G45" s="10"/>
      <c r="H45" s="10"/>
      <c r="I45" s="11"/>
      <c r="J45" s="12"/>
      <c r="K45" s="10"/>
      <c r="L45" s="10"/>
      <c r="M45" s="11"/>
      <c r="N45" s="12"/>
      <c r="O45" s="10"/>
      <c r="P45" s="10"/>
      <c r="Q45" s="11"/>
      <c r="R45" s="12"/>
      <c r="S45" s="10"/>
      <c r="T45" s="10"/>
      <c r="U45" s="11"/>
      <c r="V45" s="12"/>
      <c r="W45" s="88"/>
      <c r="X45" s="10"/>
      <c r="Y45" s="11"/>
      <c r="Z45" s="12"/>
      <c r="AA45" s="10"/>
      <c r="AB45" s="10"/>
      <c r="AC45" s="11"/>
      <c r="AD45" s="12"/>
      <c r="AE45" s="10"/>
      <c r="AF45" s="10"/>
      <c r="AG45" s="11"/>
      <c r="AH45" s="12"/>
      <c r="AI45" s="10"/>
      <c r="AJ45" s="10"/>
      <c r="AK45" s="11"/>
    </row>
    <row r="46" spans="2:37" s="30" customFormat="1" ht="16.5" customHeight="1" x14ac:dyDescent="0.25">
      <c r="B46" s="31"/>
      <c r="C46" s="247" t="s">
        <v>34</v>
      </c>
      <c r="D46" s="49">
        <f>SUM(F46:AG46)</f>
        <v>0.4</v>
      </c>
      <c r="E46" s="50"/>
      <c r="F46" s="12"/>
      <c r="G46" s="10"/>
      <c r="H46" s="10"/>
      <c r="I46" s="11"/>
      <c r="J46" s="12"/>
      <c r="K46" s="10"/>
      <c r="L46" s="10"/>
      <c r="M46" s="11"/>
      <c r="N46" s="12"/>
      <c r="O46" s="10"/>
      <c r="P46" s="10"/>
      <c r="Q46" s="11"/>
      <c r="R46" s="12"/>
      <c r="S46" s="10"/>
      <c r="T46" s="10"/>
      <c r="U46" s="11"/>
      <c r="V46" s="12"/>
      <c r="W46" s="10"/>
      <c r="X46" s="92">
        <v>0.4</v>
      </c>
      <c r="Y46" s="11"/>
      <c r="Z46" s="12"/>
      <c r="AA46" s="10"/>
      <c r="AB46" s="10"/>
      <c r="AC46" s="11"/>
      <c r="AD46" s="12"/>
      <c r="AE46" s="10"/>
      <c r="AF46" s="10"/>
      <c r="AG46" s="11"/>
      <c r="AH46" s="12"/>
      <c r="AI46" s="10"/>
      <c r="AJ46" s="10"/>
      <c r="AK46" s="11"/>
    </row>
    <row r="47" spans="2:37" s="30" customFormat="1" ht="16.5" customHeight="1" thickBot="1" x14ac:dyDescent="0.3">
      <c r="B47" s="31"/>
      <c r="C47" s="248"/>
      <c r="D47" s="51"/>
      <c r="E47" s="52">
        <f>SUM(F47:AG47)</f>
        <v>0</v>
      </c>
      <c r="F47" s="12"/>
      <c r="G47" s="10"/>
      <c r="H47" s="10"/>
      <c r="I47" s="11"/>
      <c r="J47" s="12"/>
      <c r="K47" s="10"/>
      <c r="L47" s="10"/>
      <c r="M47" s="11"/>
      <c r="N47" s="12"/>
      <c r="O47" s="10"/>
      <c r="P47" s="10"/>
      <c r="Q47" s="11"/>
      <c r="R47" s="12"/>
      <c r="S47" s="10"/>
      <c r="T47" s="10"/>
      <c r="U47" s="11"/>
      <c r="V47" s="12"/>
      <c r="W47" s="10"/>
      <c r="X47" s="88"/>
      <c r="Y47" s="11"/>
      <c r="Z47" s="12"/>
      <c r="AA47" s="10"/>
      <c r="AB47" s="10"/>
      <c r="AC47" s="11"/>
      <c r="AD47" s="12"/>
      <c r="AE47" s="10"/>
      <c r="AF47" s="10"/>
      <c r="AG47" s="11"/>
      <c r="AH47" s="12"/>
      <c r="AI47" s="10"/>
      <c r="AJ47" s="10"/>
      <c r="AK47" s="11"/>
    </row>
    <row r="48" spans="2:37" s="30" customFormat="1" ht="16.5" thickBot="1" x14ac:dyDescent="0.3">
      <c r="B48" s="31"/>
      <c r="C48" s="237" t="s">
        <v>33</v>
      </c>
      <c r="D48" s="49">
        <f>SUM(F48:AG48)</f>
        <v>0.4</v>
      </c>
      <c r="E48" s="50"/>
      <c r="F48" s="12"/>
      <c r="G48" s="10"/>
      <c r="H48" s="10"/>
      <c r="I48" s="11"/>
      <c r="J48" s="12"/>
      <c r="K48" s="10"/>
      <c r="L48" s="10"/>
      <c r="M48" s="11"/>
      <c r="N48" s="12"/>
      <c r="O48" s="10"/>
      <c r="P48" s="10"/>
      <c r="Q48" s="11"/>
      <c r="R48" s="12"/>
      <c r="S48" s="10"/>
      <c r="T48" s="10"/>
      <c r="U48" s="11"/>
      <c r="V48" s="12"/>
      <c r="W48" s="10"/>
      <c r="X48" s="10"/>
      <c r="Y48" s="92">
        <v>0.4</v>
      </c>
      <c r="Z48" s="12"/>
      <c r="AA48" s="10"/>
      <c r="AB48" s="10"/>
      <c r="AC48" s="11"/>
      <c r="AD48" s="12"/>
      <c r="AE48" s="10"/>
      <c r="AF48" s="10"/>
      <c r="AG48" s="11"/>
      <c r="AH48" s="12"/>
      <c r="AI48" s="10"/>
      <c r="AJ48" s="10"/>
      <c r="AK48" s="11"/>
    </row>
    <row r="49" spans="2:51" s="30" customFormat="1" ht="16.5" thickBot="1" x14ac:dyDescent="0.3">
      <c r="B49" s="31"/>
      <c r="C49" s="237"/>
      <c r="D49" s="51"/>
      <c r="E49" s="52">
        <f>SUM(F49:AG49)</f>
        <v>0</v>
      </c>
      <c r="F49" s="12"/>
      <c r="G49" s="10"/>
      <c r="H49" s="10"/>
      <c r="I49" s="11"/>
      <c r="J49" s="12"/>
      <c r="K49" s="10"/>
      <c r="L49" s="10"/>
      <c r="M49" s="11"/>
      <c r="N49" s="12"/>
      <c r="O49" s="10"/>
      <c r="P49" s="10"/>
      <c r="Q49" s="11"/>
      <c r="R49" s="12"/>
      <c r="S49" s="10"/>
      <c r="T49" s="10"/>
      <c r="U49" s="11"/>
      <c r="V49" s="12"/>
      <c r="W49" s="10"/>
      <c r="X49" s="10"/>
      <c r="Y49" s="90"/>
      <c r="Z49" s="12"/>
      <c r="AA49" s="10"/>
      <c r="AB49" s="10"/>
      <c r="AC49" s="11"/>
      <c r="AD49" s="12"/>
      <c r="AE49" s="10"/>
      <c r="AF49" s="10"/>
      <c r="AG49" s="11"/>
      <c r="AH49" s="12"/>
      <c r="AI49" s="10"/>
      <c r="AJ49" s="10"/>
      <c r="AK49" s="11"/>
    </row>
    <row r="50" spans="2:51" s="30" customFormat="1" ht="16.5" thickBot="1" x14ac:dyDescent="0.3">
      <c r="B50" s="31"/>
      <c r="C50" s="237" t="s">
        <v>32</v>
      </c>
      <c r="D50" s="49">
        <f>SUM(F50:AG50)</f>
        <v>1</v>
      </c>
      <c r="E50" s="50"/>
      <c r="F50" s="12"/>
      <c r="G50" s="10"/>
      <c r="H50" s="10"/>
      <c r="I50" s="11"/>
      <c r="J50" s="12"/>
      <c r="K50" s="10"/>
      <c r="L50" s="10"/>
      <c r="M50" s="11"/>
      <c r="N50" s="12"/>
      <c r="O50" s="10"/>
      <c r="P50" s="10"/>
      <c r="Q50" s="11"/>
      <c r="R50" s="12"/>
      <c r="S50" s="10"/>
      <c r="T50" s="10"/>
      <c r="U50" s="11"/>
      <c r="V50" s="12"/>
      <c r="W50" s="10"/>
      <c r="X50" s="10"/>
      <c r="Y50" s="11"/>
      <c r="Z50" s="92">
        <v>1</v>
      </c>
      <c r="AA50" s="92"/>
      <c r="AB50" s="92"/>
      <c r="AC50" s="92"/>
      <c r="AD50" s="12"/>
      <c r="AE50" s="10"/>
      <c r="AF50" s="10"/>
      <c r="AG50" s="11"/>
      <c r="AH50" s="12"/>
      <c r="AI50" s="10"/>
      <c r="AJ50" s="10"/>
      <c r="AK50" s="11"/>
    </row>
    <row r="51" spans="2:51" s="30" customFormat="1" ht="16.5" thickBot="1" x14ac:dyDescent="0.3">
      <c r="B51" s="31"/>
      <c r="C51" s="237"/>
      <c r="D51" s="51"/>
      <c r="E51" s="52">
        <f>SUM(F51:AG51)</f>
        <v>0</v>
      </c>
      <c r="F51" s="12"/>
      <c r="G51" s="10"/>
      <c r="H51" s="10"/>
      <c r="I51" s="11"/>
      <c r="J51" s="12"/>
      <c r="K51" s="10"/>
      <c r="L51" s="10"/>
      <c r="M51" s="11"/>
      <c r="N51" s="12"/>
      <c r="O51" s="10"/>
      <c r="P51" s="10"/>
      <c r="Q51" s="11"/>
      <c r="R51" s="12"/>
      <c r="S51" s="10"/>
      <c r="T51" s="10"/>
      <c r="U51" s="11"/>
      <c r="V51" s="12"/>
      <c r="W51" s="10"/>
      <c r="X51" s="10"/>
      <c r="Y51" s="11"/>
      <c r="Z51" s="87"/>
      <c r="AA51" s="88"/>
      <c r="AB51" s="88"/>
      <c r="AC51" s="90"/>
      <c r="AD51" s="12"/>
      <c r="AE51" s="10"/>
      <c r="AF51" s="10"/>
      <c r="AG51" s="11"/>
      <c r="AH51" s="12"/>
      <c r="AI51" s="10"/>
      <c r="AJ51" s="10"/>
      <c r="AK51" s="11"/>
    </row>
    <row r="52" spans="2:51" s="30" customFormat="1" ht="18.75" thickBot="1" x14ac:dyDescent="0.3">
      <c r="B52" s="31"/>
      <c r="C52" s="59"/>
      <c r="D52" s="54"/>
      <c r="E52" s="55"/>
      <c r="F52" s="12"/>
      <c r="G52" s="10"/>
      <c r="H52" s="10"/>
      <c r="I52" s="11"/>
      <c r="J52" s="12"/>
      <c r="K52" s="10"/>
      <c r="L52" s="10"/>
      <c r="M52" s="11"/>
      <c r="N52" s="12"/>
      <c r="O52" s="10"/>
      <c r="P52" s="10"/>
      <c r="Q52" s="11"/>
      <c r="R52" s="12"/>
      <c r="S52" s="10"/>
      <c r="T52" s="10"/>
      <c r="U52" s="11"/>
      <c r="V52" s="12"/>
      <c r="W52" s="10"/>
      <c r="X52" s="10"/>
      <c r="Y52" s="11"/>
      <c r="Z52" s="12"/>
      <c r="AA52" s="10"/>
      <c r="AB52" s="10"/>
      <c r="AC52" s="11"/>
      <c r="AD52" s="12"/>
      <c r="AE52" s="12"/>
      <c r="AF52" s="12"/>
      <c r="AG52" s="12"/>
      <c r="AH52" s="12"/>
      <c r="AI52" s="12"/>
      <c r="AJ52" s="12"/>
      <c r="AK52" s="12"/>
    </row>
    <row r="53" spans="2:51" s="30" customFormat="1" ht="18.75" thickBot="1" x14ac:dyDescent="0.3">
      <c r="B53" s="44"/>
      <c r="C53" s="56" t="s">
        <v>20</v>
      </c>
      <c r="D53" s="57"/>
      <c r="E53" s="58"/>
      <c r="F53" s="16"/>
      <c r="G53" s="17"/>
      <c r="H53" s="17"/>
      <c r="I53" s="18"/>
      <c r="J53" s="16"/>
      <c r="K53" s="17"/>
      <c r="L53" s="17"/>
      <c r="M53" s="18"/>
      <c r="N53" s="16"/>
      <c r="O53" s="17"/>
      <c r="P53" s="17"/>
      <c r="Q53" s="18"/>
      <c r="R53" s="16"/>
      <c r="S53" s="17"/>
      <c r="T53" s="17"/>
      <c r="U53" s="18"/>
      <c r="V53" s="16"/>
      <c r="W53" s="17"/>
      <c r="X53" s="17"/>
      <c r="Y53" s="18"/>
      <c r="Z53" s="16"/>
      <c r="AA53" s="17"/>
      <c r="AB53" s="17"/>
      <c r="AC53" s="18"/>
      <c r="AD53" s="12"/>
      <c r="AE53" s="12"/>
      <c r="AF53" s="12"/>
      <c r="AG53" s="12"/>
      <c r="AH53" s="12"/>
      <c r="AI53" s="12"/>
      <c r="AJ53" s="12"/>
      <c r="AK53" s="12"/>
    </row>
    <row r="54" spans="2:51" s="30" customFormat="1" ht="16.5" thickBot="1" x14ac:dyDescent="0.3">
      <c r="B54" s="31"/>
      <c r="C54" s="237" t="s">
        <v>21</v>
      </c>
      <c r="D54" s="49">
        <f>SUM(F54:AG54)</f>
        <v>0</v>
      </c>
      <c r="E54" s="50"/>
      <c r="F54" s="12"/>
      <c r="G54" s="10"/>
      <c r="H54" s="10"/>
      <c r="I54" s="11"/>
      <c r="J54" s="12"/>
      <c r="K54" s="10"/>
      <c r="L54" s="10"/>
      <c r="M54" s="11"/>
      <c r="N54" s="12"/>
      <c r="O54" s="10"/>
      <c r="P54" s="10"/>
      <c r="Q54" s="11"/>
      <c r="R54" s="12"/>
      <c r="S54" s="10"/>
      <c r="T54" s="10"/>
      <c r="U54" s="11"/>
      <c r="V54" s="12"/>
      <c r="W54" s="10"/>
      <c r="X54" s="10"/>
      <c r="Y54" s="11"/>
      <c r="Z54" s="12"/>
      <c r="AA54" s="10"/>
      <c r="AB54" s="10"/>
      <c r="AC54" s="11"/>
      <c r="AD54" s="12"/>
      <c r="AE54" s="12"/>
      <c r="AF54" s="12"/>
      <c r="AG54" s="12"/>
      <c r="AH54" s="12"/>
      <c r="AI54" s="12"/>
      <c r="AJ54" s="12"/>
      <c r="AK54" s="12"/>
    </row>
    <row r="55" spans="2:51" s="30" customFormat="1" ht="16.5" thickBot="1" x14ac:dyDescent="0.3">
      <c r="B55" s="31"/>
      <c r="C55" s="237"/>
      <c r="D55" s="51"/>
      <c r="E55" s="52">
        <f>SUM(F55:AG55)</f>
        <v>0</v>
      </c>
      <c r="F55" s="12"/>
      <c r="G55" s="10"/>
      <c r="H55" s="10"/>
      <c r="I55" s="11"/>
      <c r="J55" s="12"/>
      <c r="K55" s="10"/>
      <c r="L55" s="10"/>
      <c r="M55" s="11"/>
      <c r="N55" s="12"/>
      <c r="O55" s="10"/>
      <c r="P55" s="10"/>
      <c r="Q55" s="11"/>
      <c r="R55" s="12"/>
      <c r="S55" s="10"/>
      <c r="T55" s="10"/>
      <c r="U55" s="11"/>
      <c r="V55" s="12"/>
      <c r="W55" s="10"/>
      <c r="X55" s="10"/>
      <c r="Y55" s="11"/>
      <c r="Z55" s="12"/>
      <c r="AA55" s="10"/>
      <c r="AB55" s="10"/>
      <c r="AC55" s="11"/>
      <c r="AD55" s="12"/>
      <c r="AE55" s="12"/>
      <c r="AF55" s="12"/>
      <c r="AG55" s="12"/>
      <c r="AH55" s="12"/>
      <c r="AI55" s="12"/>
      <c r="AJ55" s="12"/>
      <c r="AK55" s="12"/>
    </row>
    <row r="56" spans="2:51" s="30" customFormat="1" ht="16.5" thickBot="1" x14ac:dyDescent="0.3">
      <c r="B56" s="31"/>
      <c r="C56" s="237" t="s">
        <v>22</v>
      </c>
      <c r="D56" s="49">
        <f>SUM(F56:AG56)</f>
        <v>1.5</v>
      </c>
      <c r="E56" s="50"/>
      <c r="F56" s="12"/>
      <c r="G56" s="10"/>
      <c r="H56" s="10"/>
      <c r="I56" s="26">
        <f>SUM('Ch.G'!D28,St.G!D28,Be.P!D28,Su.S!D28)</f>
        <v>0.5</v>
      </c>
      <c r="J56" s="12"/>
      <c r="K56" s="10"/>
      <c r="L56" s="10"/>
      <c r="M56" s="26">
        <f>SUM('Ch.G'!D29,St.G!D29,Be.P!D29,Su.S!D29)</f>
        <v>0.5</v>
      </c>
      <c r="N56" s="12"/>
      <c r="O56" s="10"/>
      <c r="P56" s="10"/>
      <c r="Q56" s="26">
        <f>SUM('Ch.G'!D30,St.G!D30,Be.P!D30,Su.S!D30)</f>
        <v>0.5</v>
      </c>
      <c r="R56" s="12"/>
      <c r="S56" s="10"/>
      <c r="T56" s="10"/>
      <c r="U56" s="26">
        <f>SUM('Ch.G'!D31,St.G!D31,Be.P!D31,Su.S!D31)</f>
        <v>0</v>
      </c>
      <c r="V56" s="12"/>
      <c r="W56" s="10"/>
      <c r="X56" s="10"/>
      <c r="Y56" s="26">
        <f>SUM('Ch.G'!D32,St.G!D32,Be.P!D32,Su.S!D32)</f>
        <v>0</v>
      </c>
      <c r="Z56" s="12"/>
      <c r="AA56" s="10"/>
      <c r="AB56" s="10"/>
      <c r="AC56" s="26">
        <f>SUM('Ch.G'!D33,St.G!D33,Be.P!D33,Su.S!D33)</f>
        <v>0</v>
      </c>
      <c r="AD56" s="12"/>
      <c r="AE56" s="12"/>
      <c r="AF56" s="12"/>
      <c r="AG56" s="12"/>
      <c r="AH56" s="12"/>
      <c r="AI56" s="12"/>
      <c r="AJ56" s="12"/>
      <c r="AK56" s="12"/>
    </row>
    <row r="57" spans="2:51" s="30" customFormat="1" ht="16.5" thickBot="1" x14ac:dyDescent="0.3">
      <c r="B57" s="31"/>
      <c r="C57" s="237"/>
      <c r="D57" s="51"/>
      <c r="E57" s="52">
        <f>SUM(F57:AG57)</f>
        <v>1.5</v>
      </c>
      <c r="F57" s="12"/>
      <c r="G57" s="10"/>
      <c r="H57" s="10"/>
      <c r="I57" s="90">
        <f>SUM('Ch.G'!E28,St.G!E28,Be.P!E28,Su.S!E28)</f>
        <v>0.5</v>
      </c>
      <c r="J57" s="12"/>
      <c r="K57" s="10"/>
      <c r="L57" s="10"/>
      <c r="M57" s="90">
        <f>SUM('Ch.G'!E29,St.G!E29,Be.P!E29,Su.S!E29)</f>
        <v>0.5</v>
      </c>
      <c r="N57" s="12"/>
      <c r="O57" s="10"/>
      <c r="P57" s="10"/>
      <c r="Q57" s="90">
        <f>SUM('Ch.G'!E30,St.G!E30,Be.P!E30,Su.S!E30)</f>
        <v>0.5</v>
      </c>
      <c r="R57" s="12"/>
      <c r="S57" s="10"/>
      <c r="T57" s="10"/>
      <c r="U57" s="90">
        <f>SUM('Ch.G'!E31,St.G!E31,Be.P!E31,Su.S!E31)</f>
        <v>0</v>
      </c>
      <c r="V57" s="12"/>
      <c r="W57" s="10"/>
      <c r="X57" s="10"/>
      <c r="Y57" s="90">
        <f>SUM('Ch.G'!E32,St.G!E32,Be.P!E32,Su.S!E32)</f>
        <v>0</v>
      </c>
      <c r="Z57" s="12"/>
      <c r="AA57" s="10"/>
      <c r="AB57" s="10"/>
      <c r="AC57" s="90">
        <f>SUM('Ch.G'!E33,St.G!E33,Be.P!E33,Su.S!E33)</f>
        <v>0</v>
      </c>
      <c r="AD57" s="12"/>
      <c r="AE57" s="12"/>
      <c r="AF57" s="12"/>
      <c r="AG57" s="12"/>
      <c r="AH57" s="12"/>
      <c r="AI57" s="12"/>
      <c r="AJ57" s="12"/>
      <c r="AK57" s="12"/>
    </row>
    <row r="58" spans="2:51" s="30" customFormat="1" ht="18.75" thickBot="1" x14ac:dyDescent="0.3">
      <c r="B58" s="31"/>
      <c r="C58" s="60"/>
      <c r="D58" s="54"/>
      <c r="E58" s="55"/>
      <c r="F58" s="12"/>
      <c r="G58" s="10"/>
      <c r="H58" s="10"/>
      <c r="I58" s="11"/>
      <c r="J58" s="12"/>
      <c r="K58" s="10"/>
      <c r="L58" s="10"/>
      <c r="M58" s="11"/>
      <c r="N58" s="12"/>
      <c r="O58" s="10"/>
      <c r="P58" s="10"/>
      <c r="Q58" s="11"/>
      <c r="R58" s="12"/>
      <c r="S58" s="10"/>
      <c r="T58" s="10"/>
      <c r="U58" s="11"/>
      <c r="V58" s="12"/>
      <c r="W58" s="10"/>
      <c r="X58" s="10"/>
      <c r="Y58" s="11"/>
      <c r="Z58" s="12"/>
      <c r="AA58" s="10"/>
      <c r="AB58" s="10"/>
      <c r="AC58" s="11"/>
      <c r="AD58" s="12"/>
      <c r="AE58" s="12"/>
      <c r="AF58" s="12"/>
      <c r="AG58" s="12"/>
      <c r="AH58" s="12"/>
      <c r="AI58" s="12"/>
      <c r="AJ58" s="12"/>
      <c r="AK58" s="12"/>
    </row>
    <row r="59" spans="2:51" s="30" customFormat="1" ht="18.75" thickBot="1" x14ac:dyDescent="0.3">
      <c r="B59" s="44"/>
      <c r="C59" s="56" t="s">
        <v>23</v>
      </c>
      <c r="D59" s="57"/>
      <c r="E59" s="58"/>
      <c r="F59" s="12"/>
      <c r="G59" s="10"/>
      <c r="H59" s="10"/>
      <c r="I59" s="11"/>
      <c r="J59" s="12"/>
      <c r="K59" s="10"/>
      <c r="L59" s="10"/>
      <c r="M59" s="11"/>
      <c r="N59" s="12"/>
      <c r="O59" s="10"/>
      <c r="P59" s="10"/>
      <c r="Q59" s="11"/>
      <c r="R59" s="12"/>
      <c r="S59" s="10"/>
      <c r="T59" s="10"/>
      <c r="U59" s="11"/>
      <c r="V59" s="12"/>
      <c r="W59" s="10"/>
      <c r="X59" s="10"/>
      <c r="Y59" s="11"/>
      <c r="Z59" s="12"/>
      <c r="AA59" s="10"/>
      <c r="AB59" s="10"/>
      <c r="AC59" s="11"/>
      <c r="AD59" s="12"/>
      <c r="AE59" s="12"/>
      <c r="AF59" s="12"/>
      <c r="AG59" s="12"/>
      <c r="AH59" s="12"/>
      <c r="AI59" s="12"/>
      <c r="AJ59" s="12"/>
      <c r="AK59" s="12"/>
    </row>
    <row r="60" spans="2:51" s="30" customFormat="1" ht="16.5" thickBot="1" x14ac:dyDescent="0.3">
      <c r="B60" s="31"/>
      <c r="C60" s="249" t="s">
        <v>24</v>
      </c>
      <c r="D60" s="49">
        <f>SUM(F60:AG60)</f>
        <v>2</v>
      </c>
      <c r="E60" s="50"/>
      <c r="F60" s="12"/>
      <c r="G60" s="10"/>
      <c r="H60" s="10"/>
      <c r="I60" s="25">
        <f>SUM('Ch.G'!D27:E27,St.G!D27:E27,Be.P!D27:E27,Su.S!D27:E27)</f>
        <v>2</v>
      </c>
      <c r="J60" s="12"/>
      <c r="K60" s="10"/>
      <c r="L60" s="10"/>
      <c r="M60" s="11"/>
      <c r="N60" s="12"/>
      <c r="O60" s="10"/>
      <c r="P60" s="10"/>
      <c r="Q60" s="25"/>
      <c r="R60" s="12"/>
      <c r="S60" s="10"/>
      <c r="T60" s="10"/>
      <c r="U60" s="11"/>
      <c r="V60" s="12"/>
      <c r="W60" s="10"/>
      <c r="X60" s="10"/>
      <c r="Y60" s="11"/>
      <c r="Z60" s="12"/>
      <c r="AA60" s="10"/>
      <c r="AB60" s="10"/>
      <c r="AC60" s="11"/>
      <c r="AD60" s="12"/>
      <c r="AE60" s="12"/>
      <c r="AF60" s="12"/>
      <c r="AG60" s="12"/>
      <c r="AH60" s="12"/>
      <c r="AI60" s="12"/>
      <c r="AJ60" s="12"/>
      <c r="AK60" s="12"/>
    </row>
    <row r="61" spans="2:51" s="30" customFormat="1" ht="16.5" thickBot="1" x14ac:dyDescent="0.3">
      <c r="B61" s="31"/>
      <c r="C61" s="249"/>
      <c r="D61" s="51"/>
      <c r="E61" s="52">
        <f>SUM(F61:AG61)</f>
        <v>0</v>
      </c>
      <c r="F61" s="12"/>
      <c r="G61" s="10"/>
      <c r="H61" s="10"/>
      <c r="I61" s="88"/>
      <c r="J61" s="12"/>
      <c r="K61" s="10"/>
      <c r="L61" s="10"/>
      <c r="M61" s="11"/>
      <c r="N61" s="12"/>
      <c r="O61" s="10"/>
      <c r="P61" s="10"/>
      <c r="Q61" s="88"/>
      <c r="R61" s="12"/>
      <c r="S61" s="10"/>
      <c r="T61" s="10"/>
      <c r="U61" s="11"/>
      <c r="V61" s="12"/>
      <c r="W61" s="10"/>
      <c r="X61" s="10"/>
      <c r="Y61" s="11"/>
      <c r="Z61" s="12"/>
      <c r="AA61" s="10"/>
      <c r="AB61" s="10"/>
      <c r="AC61" s="11"/>
      <c r="AD61" s="12"/>
      <c r="AE61" s="12"/>
      <c r="AF61" s="12"/>
      <c r="AG61" s="12"/>
      <c r="AH61" s="12"/>
      <c r="AI61" s="12"/>
      <c r="AJ61" s="12"/>
      <c r="AK61" s="12"/>
    </row>
    <row r="62" spans="2:51" s="30" customFormat="1" ht="18.75" thickBot="1" x14ac:dyDescent="0.3">
      <c r="B62" s="31"/>
      <c r="C62" s="61"/>
      <c r="D62" s="54"/>
      <c r="E62" s="55"/>
      <c r="F62" s="12"/>
      <c r="G62" s="10"/>
      <c r="H62" s="10"/>
      <c r="I62" s="11"/>
      <c r="J62" s="12"/>
      <c r="K62" s="10"/>
      <c r="L62" s="10"/>
      <c r="M62" s="11"/>
      <c r="N62" s="12"/>
      <c r="O62" s="10"/>
      <c r="P62" s="10"/>
      <c r="Q62" s="11"/>
      <c r="R62" s="12"/>
      <c r="S62" s="10"/>
      <c r="T62" s="10"/>
      <c r="U62" s="11"/>
      <c r="V62" s="12"/>
      <c r="W62" s="10"/>
      <c r="X62" s="10"/>
      <c r="Y62" s="11"/>
      <c r="Z62" s="12"/>
      <c r="AA62" s="10"/>
      <c r="AB62" s="10"/>
      <c r="AC62" s="11"/>
      <c r="AD62" s="12"/>
      <c r="AE62" s="12"/>
      <c r="AF62" s="12"/>
      <c r="AG62" s="12"/>
      <c r="AH62" s="12"/>
      <c r="AI62" s="12"/>
      <c r="AJ62" s="12"/>
      <c r="AK62" s="12"/>
    </row>
    <row r="63" spans="2:51" s="30" customFormat="1" ht="19.5" thickTop="1" thickBot="1" x14ac:dyDescent="0.3">
      <c r="B63" s="44"/>
      <c r="C63" s="56" t="s">
        <v>25</v>
      </c>
      <c r="D63" s="57"/>
      <c r="E63" s="58"/>
      <c r="F63" s="12"/>
      <c r="G63" s="10"/>
      <c r="H63" s="10"/>
      <c r="I63" s="11"/>
      <c r="J63" s="12"/>
      <c r="K63" s="10"/>
      <c r="L63" s="10"/>
      <c r="M63" s="11"/>
      <c r="N63" s="12"/>
      <c r="O63" s="10"/>
      <c r="P63" s="10"/>
      <c r="Q63" s="11"/>
      <c r="R63" s="12"/>
      <c r="S63" s="10"/>
      <c r="T63" s="10"/>
      <c r="U63" s="11"/>
      <c r="V63" s="12"/>
      <c r="W63" s="10"/>
      <c r="X63" s="10"/>
      <c r="Y63" s="11"/>
      <c r="Z63" s="12"/>
      <c r="AA63" s="10"/>
      <c r="AB63" s="10"/>
      <c r="AC63" s="11"/>
      <c r="AD63" s="12"/>
      <c r="AE63" s="12"/>
      <c r="AF63" s="12"/>
      <c r="AG63" s="12"/>
      <c r="AH63" s="12"/>
      <c r="AI63" s="12"/>
      <c r="AJ63" s="12"/>
      <c r="AK63" s="12"/>
      <c r="AL63" s="63"/>
      <c r="AM63" s="64" t="s">
        <v>26</v>
      </c>
      <c r="AY63" s="86"/>
    </row>
    <row r="64" spans="2:51" s="30" customFormat="1" ht="19.5" thickTop="1" thickBot="1" x14ac:dyDescent="0.3">
      <c r="B64" s="31"/>
      <c r="C64" s="249" t="s">
        <v>27</v>
      </c>
      <c r="D64" s="49">
        <f>SUM(F64:AG64)</f>
        <v>3</v>
      </c>
      <c r="E64" s="50"/>
      <c r="F64" s="12"/>
      <c r="G64" s="10"/>
      <c r="H64" s="10"/>
      <c r="I64" s="27"/>
      <c r="J64" s="12"/>
      <c r="K64" s="10"/>
      <c r="L64" s="10"/>
      <c r="M64" s="27"/>
      <c r="N64" s="12"/>
      <c r="O64" s="10"/>
      <c r="P64" s="10"/>
      <c r="Q64" s="27">
        <v>0.75</v>
      </c>
      <c r="R64" s="12"/>
      <c r="S64" s="10"/>
      <c r="T64" s="10"/>
      <c r="U64" s="27">
        <v>0.75</v>
      </c>
      <c r="V64" s="12"/>
      <c r="W64" s="10"/>
      <c r="X64" s="10"/>
      <c r="Y64" s="27">
        <v>0.75</v>
      </c>
      <c r="Z64" s="12"/>
      <c r="AA64" s="10"/>
      <c r="AB64" s="10"/>
      <c r="AC64" s="27">
        <v>0.75</v>
      </c>
      <c r="AD64" s="12"/>
      <c r="AE64" s="12"/>
      <c r="AF64" s="12"/>
      <c r="AG64" s="12"/>
      <c r="AH64" s="12"/>
      <c r="AI64" s="12"/>
      <c r="AJ64" s="12"/>
      <c r="AK64" s="12"/>
      <c r="AL64" s="62">
        <f>SUM(E8:E65)</f>
        <v>50</v>
      </c>
      <c r="AM64" s="64" t="s">
        <v>26</v>
      </c>
      <c r="AY64" s="86"/>
    </row>
    <row r="65" spans="2:51" s="30" customFormat="1" ht="18.75" thickBot="1" x14ac:dyDescent="0.3">
      <c r="B65" s="31"/>
      <c r="C65" s="249"/>
      <c r="D65" s="51"/>
      <c r="E65" s="52">
        <f>SUM(F65:AG65)</f>
        <v>0</v>
      </c>
      <c r="F65" s="28"/>
      <c r="G65" s="29"/>
      <c r="H65" s="29"/>
      <c r="I65" s="91"/>
      <c r="J65" s="28"/>
      <c r="K65" s="29"/>
      <c r="L65" s="29"/>
      <c r="M65" s="91"/>
      <c r="N65" s="28"/>
      <c r="O65" s="29"/>
      <c r="P65" s="29"/>
      <c r="Q65" s="91"/>
      <c r="R65" s="28"/>
      <c r="S65" s="29"/>
      <c r="T65" s="29"/>
      <c r="U65" s="91"/>
      <c r="V65" s="28"/>
      <c r="W65" s="29"/>
      <c r="X65" s="29"/>
      <c r="Y65" s="91"/>
      <c r="Z65" s="28"/>
      <c r="AA65" s="29"/>
      <c r="AB65" s="29"/>
      <c r="AC65" s="91"/>
      <c r="AD65" s="28"/>
      <c r="AE65" s="28"/>
      <c r="AF65" s="28"/>
      <c r="AG65" s="28"/>
      <c r="AH65" s="28"/>
      <c r="AI65" s="28"/>
      <c r="AJ65" s="28"/>
      <c r="AK65" s="28"/>
      <c r="AL65" s="65"/>
      <c r="AM65" s="66"/>
      <c r="AY65" s="86"/>
    </row>
    <row r="66" spans="2:51" s="37" customFormat="1" ht="19.5" thickTop="1" thickBot="1" x14ac:dyDescent="0.3">
      <c r="B66" s="38"/>
      <c r="C66" s="67" t="s">
        <v>28</v>
      </c>
      <c r="D66" s="49">
        <f>SUM(D8:D65)</f>
        <v>82.90000000000002</v>
      </c>
      <c r="E66" s="68">
        <f>SUM(E8:E65)</f>
        <v>50</v>
      </c>
      <c r="AH66" s="244" t="s">
        <v>29</v>
      </c>
      <c r="AI66" s="245"/>
      <c r="AJ66" s="246"/>
      <c r="AK66" s="242">
        <f>IF((AK63-AL64)&gt;0,(AK63-AL64),(AK63-AL64)*(1))</f>
        <v>-50</v>
      </c>
      <c r="AL66" s="243"/>
      <c r="AM66" s="64" t="s">
        <v>26</v>
      </c>
      <c r="AY66" s="85"/>
    </row>
    <row r="67" spans="2:51" s="37" customFormat="1" ht="18.75" thickTop="1" x14ac:dyDescent="0.25">
      <c r="B67" s="38"/>
      <c r="D67" s="80"/>
      <c r="E67" s="81"/>
      <c r="F67" s="227" t="s">
        <v>14</v>
      </c>
      <c r="G67" s="228"/>
      <c r="H67" s="228"/>
      <c r="I67" s="229"/>
      <c r="J67" s="230" t="s">
        <v>15</v>
      </c>
      <c r="K67" s="231"/>
      <c r="L67" s="231"/>
      <c r="M67" s="231"/>
      <c r="N67" s="232" t="s">
        <v>16</v>
      </c>
      <c r="O67" s="233"/>
      <c r="P67" s="233"/>
      <c r="Q67" s="233"/>
      <c r="R67" s="233"/>
      <c r="S67" s="233"/>
      <c r="T67" s="233"/>
      <c r="U67" s="233"/>
      <c r="V67" s="234" t="s">
        <v>18</v>
      </c>
      <c r="W67" s="234"/>
      <c r="X67" s="234"/>
      <c r="Y67" s="234"/>
      <c r="Z67" s="234"/>
      <c r="AA67" s="234"/>
      <c r="AB67" s="234"/>
      <c r="AC67" s="234"/>
      <c r="AD67" s="235" t="s">
        <v>19</v>
      </c>
      <c r="AE67" s="235"/>
      <c r="AF67" s="235"/>
      <c r="AG67" s="235"/>
      <c r="AH67" s="69"/>
      <c r="AI67" s="69"/>
      <c r="AJ67" s="69"/>
      <c r="AK67" s="70"/>
      <c r="AL67" s="70"/>
      <c r="AM67" s="66"/>
      <c r="AY67" s="85"/>
    </row>
    <row r="68" spans="2:51" s="30" customFormat="1" ht="18" x14ac:dyDescent="0.25">
      <c r="B68" s="31"/>
      <c r="C68" s="79" t="s">
        <v>30</v>
      </c>
      <c r="D68" s="71"/>
      <c r="E68" s="8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48"/>
      <c r="AL68" s="48"/>
    </row>
    <row r="69" spans="2:51" s="30" customFormat="1" ht="18" x14ac:dyDescent="0.25">
      <c r="B69" s="31"/>
      <c r="C69" s="74"/>
      <c r="D69" s="71"/>
      <c r="E69" s="8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I69" s="236">
        <f>IF((AK66)&lt;=0,(AK66/24)*(-1),AK66/24)</f>
        <v>2.0833333333333335</v>
      </c>
      <c r="AJ69" s="236"/>
      <c r="AK69" s="236"/>
      <c r="AL69" s="48"/>
    </row>
    <row r="70" spans="2:51" s="30" customFormat="1" ht="18" x14ac:dyDescent="0.2">
      <c r="B70" s="31"/>
      <c r="C70" s="73" t="s">
        <v>31</v>
      </c>
      <c r="D70" s="75"/>
      <c r="E70" s="83"/>
    </row>
    <row r="71" spans="2:51" hidden="1" x14ac:dyDescent="0.2">
      <c r="E71" s="84"/>
    </row>
    <row r="72" spans="2:51" hidden="1" x14ac:dyDescent="0.2">
      <c r="E72" s="84"/>
    </row>
    <row r="73" spans="2:51" hidden="1" x14ac:dyDescent="0.2">
      <c r="E73" s="84"/>
    </row>
    <row r="74" spans="2:51" hidden="1" x14ac:dyDescent="0.2">
      <c r="E74" s="84"/>
    </row>
    <row r="75" spans="2:51" hidden="1" x14ac:dyDescent="0.2">
      <c r="E75" s="84"/>
    </row>
    <row r="76" spans="2:51" hidden="1" x14ac:dyDescent="0.2">
      <c r="E76" s="84"/>
    </row>
    <row r="77" spans="2:51" hidden="1" x14ac:dyDescent="0.2">
      <c r="E77" s="84"/>
    </row>
    <row r="78" spans="2:51" hidden="1" x14ac:dyDescent="0.2">
      <c r="E78" s="84"/>
    </row>
    <row r="79" spans="2:51" hidden="1" x14ac:dyDescent="0.2">
      <c r="E79" s="84"/>
    </row>
    <row r="80" spans="2:51" hidden="1" x14ac:dyDescent="0.2">
      <c r="E80" s="84"/>
    </row>
    <row r="81" spans="5:5" hidden="1" x14ac:dyDescent="0.2">
      <c r="E81" s="84"/>
    </row>
    <row r="82" spans="5:5" hidden="1" x14ac:dyDescent="0.2">
      <c r="E82" s="84"/>
    </row>
    <row r="83" spans="5:5" hidden="1" x14ac:dyDescent="0.2">
      <c r="E83" s="84"/>
    </row>
    <row r="84" spans="5:5" hidden="1" x14ac:dyDescent="0.2">
      <c r="E84" s="84"/>
    </row>
    <row r="85" spans="5:5" hidden="1" x14ac:dyDescent="0.2">
      <c r="E85" s="84"/>
    </row>
    <row r="86" spans="5:5" hidden="1" x14ac:dyDescent="0.2">
      <c r="E86" s="84"/>
    </row>
    <row r="87" spans="5:5" hidden="1" x14ac:dyDescent="0.2">
      <c r="E87" s="84"/>
    </row>
    <row r="88" spans="5:5" hidden="1" x14ac:dyDescent="0.2">
      <c r="E88" s="84"/>
    </row>
    <row r="89" spans="5:5" hidden="1" x14ac:dyDescent="0.2">
      <c r="E89" s="84"/>
    </row>
    <row r="90" spans="5:5" hidden="1" x14ac:dyDescent="0.2">
      <c r="E90" s="84"/>
    </row>
    <row r="91" spans="5:5" hidden="1" x14ac:dyDescent="0.2">
      <c r="E91" s="84"/>
    </row>
    <row r="92" spans="5:5" hidden="1" x14ac:dyDescent="0.2">
      <c r="E92" s="84"/>
    </row>
    <row r="93" spans="5:5" hidden="1" x14ac:dyDescent="0.2">
      <c r="E93" s="84"/>
    </row>
    <row r="94" spans="5:5" hidden="1" x14ac:dyDescent="0.2">
      <c r="E94" s="84"/>
    </row>
    <row r="95" spans="5:5" hidden="1" x14ac:dyDescent="0.2">
      <c r="E95" s="84"/>
    </row>
    <row r="96" spans="5:5" hidden="1" x14ac:dyDescent="0.2">
      <c r="E96" s="84"/>
    </row>
    <row r="97" spans="5:5" hidden="1" x14ac:dyDescent="0.2">
      <c r="E97" s="84"/>
    </row>
    <row r="98" spans="5:5" hidden="1" x14ac:dyDescent="0.2">
      <c r="E98" s="84"/>
    </row>
    <row r="99" spans="5:5" hidden="1" x14ac:dyDescent="0.2">
      <c r="E99" s="84"/>
    </row>
    <row r="100" spans="5:5" hidden="1" x14ac:dyDescent="0.2">
      <c r="E100" s="84"/>
    </row>
    <row r="101" spans="5:5" hidden="1" x14ac:dyDescent="0.2">
      <c r="E101" s="84"/>
    </row>
    <row r="102" spans="5:5" hidden="1" x14ac:dyDescent="0.2">
      <c r="E102" s="84"/>
    </row>
    <row r="103" spans="5:5" hidden="1" x14ac:dyDescent="0.2">
      <c r="E103" s="84"/>
    </row>
    <row r="104" spans="5:5" hidden="1" x14ac:dyDescent="0.2">
      <c r="E104" s="84"/>
    </row>
    <row r="105" spans="5:5" hidden="1" x14ac:dyDescent="0.2">
      <c r="E105" s="84"/>
    </row>
    <row r="106" spans="5:5" hidden="1" x14ac:dyDescent="0.2">
      <c r="E106" s="84"/>
    </row>
    <row r="107" spans="5:5" hidden="1" x14ac:dyDescent="0.2">
      <c r="E107" s="84"/>
    </row>
    <row r="108" spans="5:5" hidden="1" x14ac:dyDescent="0.2">
      <c r="E108" s="84"/>
    </row>
    <row r="109" spans="5:5" hidden="1" x14ac:dyDescent="0.2">
      <c r="E109" s="84"/>
    </row>
    <row r="110" spans="5:5" hidden="1" x14ac:dyDescent="0.2">
      <c r="E110" s="84"/>
    </row>
    <row r="111" spans="5:5" hidden="1" x14ac:dyDescent="0.2">
      <c r="E111" s="84"/>
    </row>
    <row r="112" spans="5:5" hidden="1" x14ac:dyDescent="0.2">
      <c r="E112" s="84"/>
    </row>
    <row r="113" spans="5:5" hidden="1" x14ac:dyDescent="0.2">
      <c r="E113" s="84"/>
    </row>
    <row r="114" spans="5:5" hidden="1" x14ac:dyDescent="0.2">
      <c r="E114" s="84"/>
    </row>
    <row r="115" spans="5:5" hidden="1" x14ac:dyDescent="0.2">
      <c r="E115" s="84"/>
    </row>
    <row r="116" spans="5:5" hidden="1" x14ac:dyDescent="0.2">
      <c r="E116" s="84"/>
    </row>
    <row r="117" spans="5:5" hidden="1" x14ac:dyDescent="0.2">
      <c r="E117" s="84"/>
    </row>
    <row r="118" spans="5:5" hidden="1" x14ac:dyDescent="0.2">
      <c r="E118" s="84"/>
    </row>
    <row r="119" spans="5:5" hidden="1" x14ac:dyDescent="0.2">
      <c r="E119" s="84"/>
    </row>
    <row r="120" spans="5:5" hidden="1" x14ac:dyDescent="0.2">
      <c r="E120" s="84"/>
    </row>
    <row r="121" spans="5:5" hidden="1" x14ac:dyDescent="0.2">
      <c r="E121" s="84"/>
    </row>
    <row r="122" spans="5:5" hidden="1" x14ac:dyDescent="0.2">
      <c r="E122" s="84"/>
    </row>
    <row r="123" spans="5:5" hidden="1" x14ac:dyDescent="0.2">
      <c r="E123" s="84"/>
    </row>
    <row r="124" spans="5:5" hidden="1" x14ac:dyDescent="0.2">
      <c r="E124" s="84"/>
    </row>
    <row r="125" spans="5:5" hidden="1" x14ac:dyDescent="0.2">
      <c r="E125" s="84"/>
    </row>
    <row r="126" spans="5:5" hidden="1" x14ac:dyDescent="0.2">
      <c r="E126" s="84"/>
    </row>
    <row r="127" spans="5:5" hidden="1" x14ac:dyDescent="0.2">
      <c r="E127" s="84"/>
    </row>
    <row r="128" spans="5:5" hidden="1" x14ac:dyDescent="0.2">
      <c r="E128" s="84"/>
    </row>
    <row r="129" spans="5:5" hidden="1" x14ac:dyDescent="0.2">
      <c r="E129" s="84"/>
    </row>
    <row r="130" spans="5:5" hidden="1" x14ac:dyDescent="0.2">
      <c r="E130" s="84"/>
    </row>
    <row r="131" spans="5:5" hidden="1" x14ac:dyDescent="0.2">
      <c r="E131" s="84"/>
    </row>
    <row r="132" spans="5:5" hidden="1" x14ac:dyDescent="0.2">
      <c r="E132" s="84"/>
    </row>
    <row r="133" spans="5:5" hidden="1" x14ac:dyDescent="0.2">
      <c r="E133" s="84"/>
    </row>
    <row r="134" spans="5:5" hidden="1" x14ac:dyDescent="0.2">
      <c r="E134" s="84"/>
    </row>
    <row r="135" spans="5:5" hidden="1" x14ac:dyDescent="0.2">
      <c r="E135" s="84"/>
    </row>
    <row r="136" spans="5:5" hidden="1" x14ac:dyDescent="0.2">
      <c r="E136" s="84"/>
    </row>
    <row r="137" spans="5:5" hidden="1" x14ac:dyDescent="0.2">
      <c r="E137" s="84"/>
    </row>
    <row r="138" spans="5:5" hidden="1" x14ac:dyDescent="0.2">
      <c r="E138" s="84"/>
    </row>
    <row r="139" spans="5:5" hidden="1" x14ac:dyDescent="0.2">
      <c r="E139" s="84"/>
    </row>
    <row r="140" spans="5:5" hidden="1" x14ac:dyDescent="0.2">
      <c r="E140" s="84"/>
    </row>
    <row r="141" spans="5:5" hidden="1" x14ac:dyDescent="0.2">
      <c r="E141" s="84"/>
    </row>
    <row r="142" spans="5:5" hidden="1" x14ac:dyDescent="0.2">
      <c r="E142" s="84"/>
    </row>
    <row r="143" spans="5:5" hidden="1" x14ac:dyDescent="0.2">
      <c r="E143" s="84"/>
    </row>
    <row r="144" spans="5:5" hidden="1" x14ac:dyDescent="0.2">
      <c r="E144" s="84"/>
    </row>
    <row r="145" spans="5:5" hidden="1" x14ac:dyDescent="0.2">
      <c r="E145" s="84"/>
    </row>
    <row r="146" spans="5:5" hidden="1" x14ac:dyDescent="0.2">
      <c r="E146" s="84"/>
    </row>
    <row r="147" spans="5:5" hidden="1" x14ac:dyDescent="0.2">
      <c r="E147" s="84"/>
    </row>
    <row r="148" spans="5:5" hidden="1" x14ac:dyDescent="0.2">
      <c r="E148" s="84"/>
    </row>
    <row r="149" spans="5:5" hidden="1" x14ac:dyDescent="0.2">
      <c r="E149" s="84"/>
    </row>
    <row r="150" spans="5:5" hidden="1" x14ac:dyDescent="0.2">
      <c r="E150" s="84"/>
    </row>
    <row r="151" spans="5:5" hidden="1" x14ac:dyDescent="0.2">
      <c r="E151" s="84"/>
    </row>
    <row r="152" spans="5:5" hidden="1" x14ac:dyDescent="0.2">
      <c r="E152" s="84"/>
    </row>
    <row r="153" spans="5:5" hidden="1" x14ac:dyDescent="0.2">
      <c r="E153" s="84"/>
    </row>
    <row r="154" spans="5:5" hidden="1" x14ac:dyDescent="0.2">
      <c r="E154" s="84"/>
    </row>
    <row r="155" spans="5:5" hidden="1" x14ac:dyDescent="0.2">
      <c r="E155" s="84"/>
    </row>
    <row r="156" spans="5:5" hidden="1" x14ac:dyDescent="0.2">
      <c r="E156" s="84"/>
    </row>
    <row r="157" spans="5:5" hidden="1" x14ac:dyDescent="0.2">
      <c r="E157" s="84"/>
    </row>
    <row r="158" spans="5:5" hidden="1" x14ac:dyDescent="0.2">
      <c r="E158" s="84"/>
    </row>
    <row r="159" spans="5:5" hidden="1" x14ac:dyDescent="0.2">
      <c r="E159" s="84"/>
    </row>
    <row r="160" spans="5:5" hidden="1" x14ac:dyDescent="0.2">
      <c r="E160" s="84"/>
    </row>
    <row r="161" spans="5:5" hidden="1" x14ac:dyDescent="0.2">
      <c r="E161" s="84"/>
    </row>
    <row r="162" spans="5:5" hidden="1" x14ac:dyDescent="0.2">
      <c r="E162" s="84"/>
    </row>
    <row r="163" spans="5:5" hidden="1" x14ac:dyDescent="0.2">
      <c r="E163" s="84"/>
    </row>
    <row r="164" spans="5:5" hidden="1" x14ac:dyDescent="0.2">
      <c r="E164" s="84"/>
    </row>
    <row r="165" spans="5:5" hidden="1" x14ac:dyDescent="0.2">
      <c r="E165" s="84"/>
    </row>
    <row r="166" spans="5:5" hidden="1" x14ac:dyDescent="0.2">
      <c r="E166" s="84"/>
    </row>
    <row r="167" spans="5:5" hidden="1" x14ac:dyDescent="0.2">
      <c r="E167" s="84"/>
    </row>
    <row r="168" spans="5:5" hidden="1" x14ac:dyDescent="0.2">
      <c r="E168" s="84"/>
    </row>
    <row r="169" spans="5:5" hidden="1" x14ac:dyDescent="0.2">
      <c r="E169" s="84"/>
    </row>
    <row r="170" spans="5:5" hidden="1" x14ac:dyDescent="0.2">
      <c r="E170" s="84"/>
    </row>
    <row r="171" spans="5:5" hidden="1" x14ac:dyDescent="0.2">
      <c r="E171" s="84"/>
    </row>
    <row r="172" spans="5:5" hidden="1" x14ac:dyDescent="0.2">
      <c r="E172" s="84"/>
    </row>
    <row r="173" spans="5:5" hidden="1" x14ac:dyDescent="0.2">
      <c r="E173" s="84"/>
    </row>
    <row r="174" spans="5:5" hidden="1" x14ac:dyDescent="0.2">
      <c r="E174" s="84"/>
    </row>
    <row r="175" spans="5:5" hidden="1" x14ac:dyDescent="0.2">
      <c r="E175" s="84"/>
    </row>
    <row r="176" spans="5:5" hidden="1" x14ac:dyDescent="0.2">
      <c r="E176" s="84"/>
    </row>
    <row r="177" spans="5:5" hidden="1" x14ac:dyDescent="0.2">
      <c r="E177" s="84"/>
    </row>
    <row r="178" spans="5:5" hidden="1" x14ac:dyDescent="0.2">
      <c r="E178" s="84"/>
    </row>
    <row r="179" spans="5:5" hidden="1" x14ac:dyDescent="0.2">
      <c r="E179" s="84"/>
    </row>
    <row r="180" spans="5:5" hidden="1" x14ac:dyDescent="0.2">
      <c r="E180" s="84"/>
    </row>
    <row r="181" spans="5:5" hidden="1" x14ac:dyDescent="0.2">
      <c r="E181" s="84"/>
    </row>
    <row r="182" spans="5:5" hidden="1" x14ac:dyDescent="0.2">
      <c r="E182" s="84"/>
    </row>
    <row r="183" spans="5:5" hidden="1" x14ac:dyDescent="0.2">
      <c r="E183" s="84"/>
    </row>
    <row r="184" spans="5:5" hidden="1" x14ac:dyDescent="0.2">
      <c r="E184" s="84"/>
    </row>
    <row r="185" spans="5:5" hidden="1" x14ac:dyDescent="0.2">
      <c r="E185" s="84"/>
    </row>
    <row r="186" spans="5:5" hidden="1" x14ac:dyDescent="0.2">
      <c r="E186" s="84"/>
    </row>
    <row r="187" spans="5:5" hidden="1" x14ac:dyDescent="0.2">
      <c r="E187" s="84"/>
    </row>
    <row r="188" spans="5:5" hidden="1" x14ac:dyDescent="0.2">
      <c r="E188" s="84"/>
    </row>
    <row r="189" spans="5:5" hidden="1" x14ac:dyDescent="0.2">
      <c r="E189" s="84"/>
    </row>
    <row r="190" spans="5:5" hidden="1" x14ac:dyDescent="0.2">
      <c r="E190" s="84"/>
    </row>
    <row r="191" spans="5:5" hidden="1" x14ac:dyDescent="0.2">
      <c r="E191" s="84"/>
    </row>
    <row r="192" spans="5:5" hidden="1" x14ac:dyDescent="0.2">
      <c r="E192" s="84"/>
    </row>
    <row r="193" spans="5:5" hidden="1" x14ac:dyDescent="0.2">
      <c r="E193" s="84"/>
    </row>
    <row r="194" spans="5:5" hidden="1" x14ac:dyDescent="0.2">
      <c r="E194" s="84"/>
    </row>
    <row r="195" spans="5:5" hidden="1" x14ac:dyDescent="0.2">
      <c r="E195" s="84"/>
    </row>
    <row r="196" spans="5:5" hidden="1" x14ac:dyDescent="0.2">
      <c r="E196" s="84"/>
    </row>
    <row r="197" spans="5:5" hidden="1" x14ac:dyDescent="0.2">
      <c r="E197" s="84"/>
    </row>
    <row r="198" spans="5:5" hidden="1" x14ac:dyDescent="0.2">
      <c r="E198" s="84"/>
    </row>
    <row r="199" spans="5:5" hidden="1" x14ac:dyDescent="0.2">
      <c r="E199" s="84"/>
    </row>
    <row r="200" spans="5:5" hidden="1" x14ac:dyDescent="0.2">
      <c r="E200" s="84"/>
    </row>
    <row r="201" spans="5:5" hidden="1" x14ac:dyDescent="0.2">
      <c r="E201" s="84"/>
    </row>
    <row r="202" spans="5:5" hidden="1" x14ac:dyDescent="0.2">
      <c r="E202" s="84"/>
    </row>
    <row r="203" spans="5:5" hidden="1" x14ac:dyDescent="0.2">
      <c r="E203" s="84"/>
    </row>
    <row r="204" spans="5:5" hidden="1" x14ac:dyDescent="0.2">
      <c r="E204" s="84"/>
    </row>
    <row r="205" spans="5:5" hidden="1" x14ac:dyDescent="0.2">
      <c r="E205" s="84"/>
    </row>
    <row r="206" spans="5:5" hidden="1" x14ac:dyDescent="0.2">
      <c r="E206" s="84"/>
    </row>
    <row r="207" spans="5:5" hidden="1" x14ac:dyDescent="0.2">
      <c r="E207" s="84"/>
    </row>
    <row r="208" spans="5:5" hidden="1" x14ac:dyDescent="0.2">
      <c r="E208" s="84"/>
    </row>
    <row r="209" spans="5:5" hidden="1" x14ac:dyDescent="0.2">
      <c r="E209" s="84"/>
    </row>
    <row r="210" spans="5:5" hidden="1" x14ac:dyDescent="0.2">
      <c r="E210" s="84"/>
    </row>
    <row r="211" spans="5:5" hidden="1" x14ac:dyDescent="0.2">
      <c r="E211" s="84"/>
    </row>
    <row r="212" spans="5:5" hidden="1" x14ac:dyDescent="0.2">
      <c r="E212" s="84"/>
    </row>
    <row r="213" spans="5:5" hidden="1" x14ac:dyDescent="0.2">
      <c r="E213" s="84"/>
    </row>
    <row r="214" spans="5:5" hidden="1" x14ac:dyDescent="0.2">
      <c r="E214" s="84"/>
    </row>
    <row r="215" spans="5:5" hidden="1" x14ac:dyDescent="0.2">
      <c r="E215" s="84"/>
    </row>
    <row r="216" spans="5:5" hidden="1" x14ac:dyDescent="0.2">
      <c r="E216" s="84"/>
    </row>
    <row r="217" spans="5:5" hidden="1" x14ac:dyDescent="0.2">
      <c r="E217" s="84"/>
    </row>
    <row r="218" spans="5:5" hidden="1" x14ac:dyDescent="0.2">
      <c r="E218" s="84"/>
    </row>
    <row r="219" spans="5:5" hidden="1" x14ac:dyDescent="0.2">
      <c r="E219" s="84"/>
    </row>
    <row r="220" spans="5:5" hidden="1" x14ac:dyDescent="0.2">
      <c r="E220" s="84"/>
    </row>
    <row r="221" spans="5:5" hidden="1" x14ac:dyDescent="0.2">
      <c r="E221" s="84"/>
    </row>
    <row r="222" spans="5:5" hidden="1" x14ac:dyDescent="0.2">
      <c r="E222" s="84"/>
    </row>
    <row r="223" spans="5:5" hidden="1" x14ac:dyDescent="0.2">
      <c r="E223" s="84"/>
    </row>
    <row r="224" spans="5:5" hidden="1" x14ac:dyDescent="0.2">
      <c r="E224" s="84"/>
    </row>
    <row r="225" spans="5:5" hidden="1" x14ac:dyDescent="0.2">
      <c r="E225" s="84"/>
    </row>
    <row r="226" spans="5:5" hidden="1" x14ac:dyDescent="0.2">
      <c r="E226" s="84"/>
    </row>
    <row r="227" spans="5:5" hidden="1" x14ac:dyDescent="0.2">
      <c r="E227" s="84"/>
    </row>
    <row r="228" spans="5:5" hidden="1" x14ac:dyDescent="0.2">
      <c r="E228" s="84"/>
    </row>
    <row r="229" spans="5:5" hidden="1" x14ac:dyDescent="0.2">
      <c r="E229" s="84"/>
    </row>
    <row r="230" spans="5:5" hidden="1" x14ac:dyDescent="0.2">
      <c r="E230" s="84"/>
    </row>
    <row r="231" spans="5:5" hidden="1" x14ac:dyDescent="0.2">
      <c r="E231" s="84"/>
    </row>
    <row r="232" spans="5:5" hidden="1" x14ac:dyDescent="0.2">
      <c r="E232" s="84"/>
    </row>
    <row r="233" spans="5:5" hidden="1" x14ac:dyDescent="0.2">
      <c r="E233" s="84"/>
    </row>
    <row r="234" spans="5:5" hidden="1" x14ac:dyDescent="0.2">
      <c r="E234" s="84"/>
    </row>
    <row r="235" spans="5:5" hidden="1" x14ac:dyDescent="0.2">
      <c r="E235" s="84"/>
    </row>
    <row r="236" spans="5:5" hidden="1" x14ac:dyDescent="0.2">
      <c r="E236" s="84"/>
    </row>
    <row r="237" spans="5:5" hidden="1" x14ac:dyDescent="0.2">
      <c r="E237" s="84"/>
    </row>
    <row r="238" spans="5:5" hidden="1" x14ac:dyDescent="0.2">
      <c r="E238" s="84"/>
    </row>
    <row r="239" spans="5:5" hidden="1" x14ac:dyDescent="0.2">
      <c r="E239" s="84"/>
    </row>
    <row r="240" spans="5:5" hidden="1" x14ac:dyDescent="0.2">
      <c r="E240" s="84"/>
    </row>
    <row r="241" spans="5:5" hidden="1" x14ac:dyDescent="0.2">
      <c r="E241" s="84"/>
    </row>
    <row r="242" spans="5:5" hidden="1" x14ac:dyDescent="0.2">
      <c r="E242" s="84"/>
    </row>
    <row r="243" spans="5:5" hidden="1" x14ac:dyDescent="0.2">
      <c r="E243" s="84"/>
    </row>
    <row r="244" spans="5:5" hidden="1" x14ac:dyDescent="0.2">
      <c r="E244" s="84"/>
    </row>
    <row r="245" spans="5:5" hidden="1" x14ac:dyDescent="0.2">
      <c r="E245" s="84"/>
    </row>
    <row r="246" spans="5:5" hidden="1" x14ac:dyDescent="0.2">
      <c r="E246" s="84"/>
    </row>
    <row r="247" spans="5:5" hidden="1" x14ac:dyDescent="0.2">
      <c r="E247" s="84"/>
    </row>
    <row r="248" spans="5:5" hidden="1" x14ac:dyDescent="0.2">
      <c r="E248" s="84"/>
    </row>
    <row r="249" spans="5:5" hidden="1" x14ac:dyDescent="0.2">
      <c r="E249" s="84"/>
    </row>
    <row r="250" spans="5:5" hidden="1" x14ac:dyDescent="0.2">
      <c r="E250" s="84"/>
    </row>
    <row r="251" spans="5:5" hidden="1" x14ac:dyDescent="0.2">
      <c r="E251" s="84"/>
    </row>
    <row r="252" spans="5:5" hidden="1" x14ac:dyDescent="0.2">
      <c r="E252" s="84"/>
    </row>
    <row r="253" spans="5:5" hidden="1" x14ac:dyDescent="0.2">
      <c r="E253" s="84"/>
    </row>
    <row r="254" spans="5:5" hidden="1" x14ac:dyDescent="0.2">
      <c r="E254" s="84"/>
    </row>
    <row r="255" spans="5:5" hidden="1" x14ac:dyDescent="0.2">
      <c r="E255" s="84"/>
    </row>
    <row r="256" spans="5:5" hidden="1" x14ac:dyDescent="0.2">
      <c r="E256" s="84"/>
    </row>
    <row r="257" spans="5:5" hidden="1" x14ac:dyDescent="0.2">
      <c r="E257" s="84"/>
    </row>
    <row r="258" spans="5:5" hidden="1" x14ac:dyDescent="0.2">
      <c r="E258" s="84"/>
    </row>
    <row r="259" spans="5:5" hidden="1" x14ac:dyDescent="0.2">
      <c r="E259" s="84"/>
    </row>
    <row r="260" spans="5:5" hidden="1" x14ac:dyDescent="0.2">
      <c r="E260" s="84"/>
    </row>
    <row r="261" spans="5:5" hidden="1" x14ac:dyDescent="0.2">
      <c r="E261" s="84"/>
    </row>
    <row r="262" spans="5:5" hidden="1" x14ac:dyDescent="0.2">
      <c r="E262" s="84"/>
    </row>
    <row r="263" spans="5:5" hidden="1" x14ac:dyDescent="0.2">
      <c r="E263" s="84"/>
    </row>
    <row r="264" spans="5:5" hidden="1" x14ac:dyDescent="0.2">
      <c r="E264" s="84"/>
    </row>
    <row r="265" spans="5:5" hidden="1" x14ac:dyDescent="0.2">
      <c r="E265" s="84"/>
    </row>
    <row r="266" spans="5:5" hidden="1" x14ac:dyDescent="0.2">
      <c r="E266" s="84"/>
    </row>
    <row r="267" spans="5:5" hidden="1" x14ac:dyDescent="0.2">
      <c r="E267" s="84"/>
    </row>
    <row r="268" spans="5:5" hidden="1" x14ac:dyDescent="0.2">
      <c r="E268" s="84"/>
    </row>
    <row r="269" spans="5:5" hidden="1" x14ac:dyDescent="0.2">
      <c r="E269" s="84"/>
    </row>
    <row r="270" spans="5:5" hidden="1" x14ac:dyDescent="0.2">
      <c r="E270" s="84"/>
    </row>
    <row r="271" spans="5:5" hidden="1" x14ac:dyDescent="0.2">
      <c r="E271" s="84"/>
    </row>
    <row r="272" spans="5:5" hidden="1" x14ac:dyDescent="0.2">
      <c r="E272" s="84"/>
    </row>
    <row r="273" spans="5:5" hidden="1" x14ac:dyDescent="0.2">
      <c r="E273" s="84"/>
    </row>
    <row r="274" spans="5:5" hidden="1" x14ac:dyDescent="0.2">
      <c r="E274" s="84"/>
    </row>
    <row r="275" spans="5:5" hidden="1" x14ac:dyDescent="0.2">
      <c r="E275" s="84"/>
    </row>
    <row r="276" spans="5:5" hidden="1" x14ac:dyDescent="0.2">
      <c r="E276" s="84"/>
    </row>
    <row r="277" spans="5:5" hidden="1" x14ac:dyDescent="0.2">
      <c r="E277" s="84"/>
    </row>
    <row r="278" spans="5:5" hidden="1" x14ac:dyDescent="0.2">
      <c r="E278" s="84"/>
    </row>
    <row r="279" spans="5:5" hidden="1" x14ac:dyDescent="0.2">
      <c r="E279" s="84"/>
    </row>
    <row r="280" spans="5:5" hidden="1" x14ac:dyDescent="0.2">
      <c r="E280" s="84"/>
    </row>
    <row r="281" spans="5:5" hidden="1" x14ac:dyDescent="0.2">
      <c r="E281" s="84"/>
    </row>
    <row r="282" spans="5:5" hidden="1" x14ac:dyDescent="0.2">
      <c r="E282" s="84"/>
    </row>
    <row r="283" spans="5:5" hidden="1" x14ac:dyDescent="0.2">
      <c r="E283" s="84"/>
    </row>
    <row r="284" spans="5:5" hidden="1" x14ac:dyDescent="0.2">
      <c r="E284" s="84"/>
    </row>
    <row r="285" spans="5:5" hidden="1" x14ac:dyDescent="0.2">
      <c r="E285" s="84"/>
    </row>
    <row r="286" spans="5:5" hidden="1" x14ac:dyDescent="0.2">
      <c r="E286" s="84"/>
    </row>
    <row r="287" spans="5:5" hidden="1" x14ac:dyDescent="0.2">
      <c r="E287" s="84"/>
    </row>
    <row r="288" spans="5:5" hidden="1" x14ac:dyDescent="0.2">
      <c r="E288" s="84"/>
    </row>
    <row r="289" spans="5:9" hidden="1" x14ac:dyDescent="0.2">
      <c r="E289" s="84"/>
    </row>
    <row r="290" spans="5:9" hidden="1" x14ac:dyDescent="0.2">
      <c r="E290" s="84"/>
    </row>
    <row r="291" spans="5:9" hidden="1" x14ac:dyDescent="0.2">
      <c r="E291" s="84"/>
    </row>
    <row r="292" spans="5:9" hidden="1" x14ac:dyDescent="0.2">
      <c r="E292" s="84"/>
    </row>
    <row r="293" spans="5:9" hidden="1" x14ac:dyDescent="0.2">
      <c r="E293" s="84"/>
    </row>
    <row r="294" spans="5:9" hidden="1" x14ac:dyDescent="0.2">
      <c r="E294" s="84"/>
    </row>
    <row r="295" spans="5:9" hidden="1" x14ac:dyDescent="0.2">
      <c r="E295" s="84"/>
    </row>
    <row r="296" spans="5:9" hidden="1" x14ac:dyDescent="0.2">
      <c r="E296" s="84"/>
    </row>
    <row r="297" spans="5:9" hidden="1" x14ac:dyDescent="0.2">
      <c r="E297" s="84"/>
    </row>
    <row r="298" spans="5:9" hidden="1" x14ac:dyDescent="0.2">
      <c r="E298" s="84"/>
    </row>
    <row r="299" spans="5:9" x14ac:dyDescent="0.2">
      <c r="E299" s="84"/>
    </row>
    <row r="303" spans="5:9" x14ac:dyDescent="0.2">
      <c r="I303"/>
    </row>
  </sheetData>
  <sheetProtection formatCells="0" formatColumns="0" formatRows="0" insertColumns="0" insertRows="0" insertHyperlinks="0" deleteColumns="0" deleteRows="0" sort="0" autoFilter="0" pivotTables="0"/>
  <mergeCells count="74">
    <mergeCell ref="C26:C27"/>
    <mergeCell ref="C28:C29"/>
    <mergeCell ref="C60:C61"/>
    <mergeCell ref="C56:C57"/>
    <mergeCell ref="C54:C55"/>
    <mergeCell ref="C32:C33"/>
    <mergeCell ref="C34:C35"/>
    <mergeCell ref="C36:C37"/>
    <mergeCell ref="C38:C39"/>
    <mergeCell ref="C48:C49"/>
    <mergeCell ref="C42:C43"/>
    <mergeCell ref="AK66:AL66"/>
    <mergeCell ref="AH66:AJ66"/>
    <mergeCell ref="C50:C51"/>
    <mergeCell ref="C44:C45"/>
    <mergeCell ref="C46:C47"/>
    <mergeCell ref="C64:C65"/>
    <mergeCell ref="C20:C21"/>
    <mergeCell ref="C22:C23"/>
    <mergeCell ref="C24:C25"/>
    <mergeCell ref="D5:E5"/>
    <mergeCell ref="F5:I5"/>
    <mergeCell ref="C16:C17"/>
    <mergeCell ref="C8:C9"/>
    <mergeCell ref="C12:C13"/>
    <mergeCell ref="C10:C11"/>
    <mergeCell ref="C14:C15"/>
    <mergeCell ref="AI69:AK69"/>
    <mergeCell ref="F1:I1"/>
    <mergeCell ref="J1:M1"/>
    <mergeCell ref="N1:Q1"/>
    <mergeCell ref="R1:U1"/>
    <mergeCell ref="R3:U3"/>
    <mergeCell ref="V4:Y4"/>
    <mergeCell ref="Z3:AC3"/>
    <mergeCell ref="AD3:AG3"/>
    <mergeCell ref="Z4:AC4"/>
    <mergeCell ref="Z5:AC5"/>
    <mergeCell ref="AD5:AG5"/>
    <mergeCell ref="V5:Y5"/>
    <mergeCell ref="AD4:AG4"/>
    <mergeCell ref="F3:I3"/>
    <mergeCell ref="J3:M3"/>
    <mergeCell ref="N3:Q3"/>
    <mergeCell ref="V3:Y3"/>
    <mergeCell ref="R4:U4"/>
    <mergeCell ref="F67:I67"/>
    <mergeCell ref="J67:M67"/>
    <mergeCell ref="N67:U67"/>
    <mergeCell ref="V67:AC67"/>
    <mergeCell ref="AD67:AG67"/>
    <mergeCell ref="C3:E3"/>
    <mergeCell ref="R2:U2"/>
    <mergeCell ref="V2:Y2"/>
    <mergeCell ref="F2:I2"/>
    <mergeCell ref="J2:M2"/>
    <mergeCell ref="N2:Q2"/>
    <mergeCell ref="V1:Y1"/>
    <mergeCell ref="Z1:AC1"/>
    <mergeCell ref="AD1:AG1"/>
    <mergeCell ref="Z2:AC2"/>
    <mergeCell ref="AD2:AG2"/>
    <mergeCell ref="C4:E4"/>
    <mergeCell ref="J5:M5"/>
    <mergeCell ref="N5:Q5"/>
    <mergeCell ref="R5:U5"/>
    <mergeCell ref="F4:I4"/>
    <mergeCell ref="J4:M4"/>
    <mergeCell ref="N4:Q4"/>
    <mergeCell ref="AH1:AK1"/>
    <mergeCell ref="AH2:AK2"/>
    <mergeCell ref="AH3:AK3"/>
    <mergeCell ref="AH4:AK4"/>
    <mergeCell ref="AH5:AK5"/>
  </mergeCells>
  <conditionalFormatting sqref="AI69">
    <cfRule type="expression" dxfId="1" priority="1">
      <formula>$AK$66&gt;0</formula>
    </cfRule>
    <cfRule type="expression" dxfId="0" priority="2">
      <formula>$AK$66&lt;0</formula>
    </cfRule>
  </conditionalFormatting>
  <printOptions horizontalCentered="1"/>
  <pageMargins left="0.51181102362204722" right="0.51181102362204722" top="0.74803149606299213" bottom="0.15748031496062992" header="0.31496062992125984" footer="0.31496062992125984"/>
  <pageSetup paperSize="8" scale="2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2ABA6-3C3B-4C12-BC6E-078F57E9047A}">
  <dimension ref="A1:J37"/>
  <sheetViews>
    <sheetView workbookViewId="0">
      <selection activeCell="E30" sqref="E30"/>
    </sheetView>
  </sheetViews>
  <sheetFormatPr baseColWidth="10" defaultRowHeight="12.75" x14ac:dyDescent="0.2"/>
  <cols>
    <col min="1" max="1" width="2.7109375" customWidth="1"/>
    <col min="2" max="2" width="43" bestFit="1" customWidth="1"/>
    <col min="3" max="3" width="9.85546875" bestFit="1" customWidth="1"/>
    <col min="4" max="4" width="16.5703125" bestFit="1" customWidth="1"/>
    <col min="5" max="5" width="14.42578125" style="97" bestFit="1" customWidth="1"/>
    <col min="6" max="6" width="11.28515625" bestFit="1" customWidth="1"/>
  </cols>
  <sheetData>
    <row r="1" spans="1:10" ht="13.5" thickBot="1" x14ac:dyDescent="0.25">
      <c r="A1" t="s">
        <v>55</v>
      </c>
    </row>
    <row r="2" spans="1:10" s="179" customFormat="1" ht="19.5" thickBot="1" x14ac:dyDescent="0.35">
      <c r="B2" s="183" t="s">
        <v>54</v>
      </c>
      <c r="C2" s="181" t="s">
        <v>53</v>
      </c>
      <c r="D2" s="182" t="s">
        <v>51</v>
      </c>
      <c r="E2" s="181" t="s">
        <v>52</v>
      </c>
      <c r="F2" s="181"/>
      <c r="G2" s="181"/>
      <c r="H2" s="181"/>
      <c r="I2" s="181"/>
      <c r="J2" s="180"/>
    </row>
    <row r="3" spans="1:10" ht="19.5" thickBot="1" x14ac:dyDescent="0.35">
      <c r="B3" s="209" t="s">
        <v>14</v>
      </c>
      <c r="C3" s="210"/>
      <c r="D3" s="210"/>
      <c r="E3" s="210"/>
      <c r="F3" s="210"/>
      <c r="G3" s="210"/>
      <c r="H3" s="210"/>
      <c r="I3" s="210"/>
      <c r="J3" s="211"/>
    </row>
    <row r="4" spans="1:10" x14ac:dyDescent="0.2">
      <c r="B4" s="178" t="s">
        <v>50</v>
      </c>
      <c r="C4" s="177">
        <v>46056</v>
      </c>
      <c r="D4" s="176">
        <v>0.65</v>
      </c>
      <c r="E4" s="176">
        <v>1</v>
      </c>
      <c r="F4" s="175"/>
      <c r="G4" s="175"/>
      <c r="H4" s="175"/>
      <c r="I4" s="175"/>
      <c r="J4" s="174"/>
    </row>
    <row r="5" spans="1:10" x14ac:dyDescent="0.2">
      <c r="B5" s="173" t="s">
        <v>48</v>
      </c>
      <c r="C5" s="172">
        <v>46056</v>
      </c>
      <c r="D5" s="170">
        <v>0.65</v>
      </c>
      <c r="E5" s="170">
        <v>1</v>
      </c>
      <c r="F5" s="169"/>
      <c r="G5" s="169"/>
      <c r="H5" s="169"/>
      <c r="I5" s="169"/>
      <c r="J5" s="168"/>
    </row>
    <row r="6" spans="1:10" x14ac:dyDescent="0.2">
      <c r="B6" s="173" t="s">
        <v>47</v>
      </c>
      <c r="C6" s="172">
        <v>46056</v>
      </c>
      <c r="D6" s="171">
        <v>0.65</v>
      </c>
      <c r="E6" s="170">
        <v>1</v>
      </c>
      <c r="F6" s="169"/>
      <c r="G6" s="169"/>
      <c r="H6" s="169"/>
      <c r="I6" s="169"/>
      <c r="J6" s="168"/>
    </row>
    <row r="7" spans="1:10" x14ac:dyDescent="0.2">
      <c r="B7" s="173" t="s">
        <v>46</v>
      </c>
      <c r="C7" s="172">
        <v>46056</v>
      </c>
      <c r="D7" s="171">
        <v>0.65</v>
      </c>
      <c r="E7" s="170">
        <v>1</v>
      </c>
      <c r="F7" s="169"/>
      <c r="G7" s="169"/>
      <c r="H7" s="169"/>
      <c r="I7" s="169"/>
      <c r="J7" s="168"/>
    </row>
    <row r="8" spans="1:10" ht="13.5" thickBot="1" x14ac:dyDescent="0.25">
      <c r="B8" s="167" t="s">
        <v>45</v>
      </c>
      <c r="C8" s="166">
        <v>46056</v>
      </c>
      <c r="D8" s="165">
        <v>0.65</v>
      </c>
      <c r="E8" s="164">
        <v>0.5</v>
      </c>
      <c r="F8" s="163"/>
      <c r="G8" s="163"/>
      <c r="H8" s="163"/>
      <c r="I8" s="163"/>
      <c r="J8" s="162"/>
    </row>
    <row r="9" spans="1:10" ht="19.5" thickBot="1" x14ac:dyDescent="0.35">
      <c r="B9" s="212" t="s">
        <v>15</v>
      </c>
      <c r="C9" s="213"/>
      <c r="D9" s="213"/>
      <c r="E9" s="213"/>
      <c r="F9" s="213"/>
      <c r="G9" s="213"/>
      <c r="H9" s="213"/>
      <c r="I9" s="213"/>
      <c r="J9" s="214"/>
    </row>
    <row r="10" spans="1:10" x14ac:dyDescent="0.2">
      <c r="B10" s="161" t="s">
        <v>44</v>
      </c>
      <c r="C10" s="160">
        <v>46063</v>
      </c>
      <c r="D10" s="156">
        <v>0.65</v>
      </c>
      <c r="E10" s="159">
        <v>1</v>
      </c>
      <c r="F10" s="159"/>
      <c r="G10" s="159"/>
      <c r="H10" s="159"/>
      <c r="I10" s="159"/>
      <c r="J10" s="194"/>
    </row>
    <row r="11" spans="1:10" x14ac:dyDescent="0.2">
      <c r="B11" s="158" t="s">
        <v>43</v>
      </c>
      <c r="C11" s="157">
        <v>46063</v>
      </c>
      <c r="D11" s="156">
        <v>0.65</v>
      </c>
      <c r="E11" s="156">
        <v>1</v>
      </c>
      <c r="F11" s="156"/>
      <c r="G11" s="156"/>
      <c r="H11" s="156"/>
      <c r="I11" s="156"/>
      <c r="J11" s="185"/>
    </row>
    <row r="12" spans="1:10" x14ac:dyDescent="0.2">
      <c r="B12" s="158" t="s">
        <v>42</v>
      </c>
      <c r="C12" s="157">
        <v>46063</v>
      </c>
      <c r="D12" s="156">
        <v>0.65</v>
      </c>
      <c r="E12" s="156">
        <v>1</v>
      </c>
      <c r="F12" s="156"/>
      <c r="G12" s="156"/>
      <c r="H12" s="156"/>
      <c r="I12" s="156"/>
      <c r="J12" s="185"/>
    </row>
    <row r="13" spans="1:10" x14ac:dyDescent="0.2">
      <c r="B13" s="158" t="s">
        <v>41</v>
      </c>
      <c r="C13" s="157">
        <v>46063</v>
      </c>
      <c r="D13" s="156">
        <v>0.65</v>
      </c>
      <c r="E13" s="156">
        <v>1</v>
      </c>
      <c r="F13" s="156"/>
      <c r="G13" s="156"/>
      <c r="H13" s="156"/>
      <c r="I13" s="156"/>
      <c r="J13" s="185"/>
    </row>
    <row r="14" spans="1:10" ht="13.5" thickBot="1" x14ac:dyDescent="0.25">
      <c r="B14" s="155" t="s">
        <v>40</v>
      </c>
      <c r="C14" s="154">
        <v>46063</v>
      </c>
      <c r="D14" s="156">
        <v>0.65</v>
      </c>
      <c r="E14" s="153">
        <v>1</v>
      </c>
      <c r="F14" s="153"/>
      <c r="G14" s="153"/>
      <c r="H14" s="153"/>
      <c r="I14" s="153"/>
      <c r="J14" s="195"/>
    </row>
    <row r="15" spans="1:10" ht="19.5" thickBot="1" x14ac:dyDescent="0.35">
      <c r="B15" s="197" t="s">
        <v>16</v>
      </c>
      <c r="C15" s="198"/>
      <c r="D15" s="198"/>
      <c r="E15" s="198"/>
      <c r="F15" s="198"/>
      <c r="G15" s="198"/>
      <c r="H15" s="198"/>
      <c r="I15" s="198"/>
      <c r="J15" s="199"/>
    </row>
    <row r="16" spans="1:10" x14ac:dyDescent="0.2">
      <c r="B16" s="152" t="s">
        <v>39</v>
      </c>
      <c r="C16" s="151">
        <v>46070</v>
      </c>
      <c r="D16" s="150">
        <v>1</v>
      </c>
      <c r="E16" s="150"/>
      <c r="F16" s="149"/>
      <c r="G16" s="149"/>
      <c r="H16" s="149"/>
      <c r="I16" s="149"/>
      <c r="J16" s="148"/>
    </row>
    <row r="17" spans="2:10" x14ac:dyDescent="0.2">
      <c r="B17" s="147" t="s">
        <v>17</v>
      </c>
      <c r="C17" s="146">
        <v>46070</v>
      </c>
      <c r="D17" s="145">
        <v>1</v>
      </c>
      <c r="E17" s="145"/>
      <c r="F17" s="144"/>
      <c r="G17" s="144"/>
      <c r="H17" s="144"/>
      <c r="I17" s="144"/>
      <c r="J17" s="143"/>
    </row>
    <row r="18" spans="2:10" x14ac:dyDescent="0.2">
      <c r="B18" s="147" t="s">
        <v>38</v>
      </c>
      <c r="C18" s="146">
        <v>46070</v>
      </c>
      <c r="D18" s="145">
        <v>1</v>
      </c>
      <c r="E18" s="145"/>
      <c r="F18" s="144"/>
      <c r="G18" s="144"/>
      <c r="H18" s="144"/>
      <c r="I18" s="144"/>
      <c r="J18" s="143"/>
    </row>
    <row r="19" spans="2:10" ht="13.5" thickBot="1" x14ac:dyDescent="0.25">
      <c r="B19" s="142" t="s">
        <v>37</v>
      </c>
      <c r="C19" s="141">
        <v>46070</v>
      </c>
      <c r="D19" s="140">
        <v>1</v>
      </c>
      <c r="E19" s="140"/>
      <c r="F19" s="139"/>
      <c r="G19" s="139"/>
      <c r="H19" s="139"/>
      <c r="I19" s="139"/>
      <c r="J19" s="138"/>
    </row>
    <row r="20" spans="2:10" ht="19.5" thickBot="1" x14ac:dyDescent="0.35">
      <c r="B20" s="200" t="s">
        <v>18</v>
      </c>
      <c r="C20" s="201"/>
      <c r="D20" s="201"/>
      <c r="E20" s="201"/>
      <c r="F20" s="201"/>
      <c r="G20" s="201"/>
      <c r="H20" s="201"/>
      <c r="I20" s="201"/>
      <c r="J20" s="202"/>
    </row>
    <row r="21" spans="2:10" x14ac:dyDescent="0.2">
      <c r="B21" s="137" t="s">
        <v>36</v>
      </c>
      <c r="C21" s="136">
        <v>46077</v>
      </c>
      <c r="D21" s="134"/>
      <c r="E21" s="135"/>
      <c r="F21" s="134"/>
      <c r="G21" s="134"/>
      <c r="H21" s="134"/>
      <c r="I21" s="134"/>
      <c r="J21" s="133"/>
    </row>
    <row r="22" spans="2:10" x14ac:dyDescent="0.2">
      <c r="B22" s="132" t="s">
        <v>35</v>
      </c>
      <c r="C22" s="131">
        <v>46077</v>
      </c>
      <c r="D22" s="129"/>
      <c r="E22" s="130"/>
      <c r="F22" s="129"/>
      <c r="G22" s="129"/>
      <c r="H22" s="129"/>
      <c r="I22" s="129"/>
      <c r="J22" s="128"/>
    </row>
    <row r="23" spans="2:10" x14ac:dyDescent="0.2">
      <c r="B23" s="132" t="s">
        <v>34</v>
      </c>
      <c r="C23" s="131">
        <v>46077</v>
      </c>
      <c r="D23" s="129"/>
      <c r="E23" s="130"/>
      <c r="F23" s="129"/>
      <c r="G23" s="129"/>
      <c r="H23" s="129"/>
      <c r="I23" s="129"/>
      <c r="J23" s="128"/>
    </row>
    <row r="24" spans="2:10" x14ac:dyDescent="0.2">
      <c r="B24" s="132" t="s">
        <v>33</v>
      </c>
      <c r="C24" s="131">
        <v>46077</v>
      </c>
      <c r="D24" s="129"/>
      <c r="E24" s="130"/>
      <c r="F24" s="129"/>
      <c r="G24" s="129"/>
      <c r="H24" s="129"/>
      <c r="I24" s="129"/>
      <c r="J24" s="128"/>
    </row>
    <row r="25" spans="2:10" ht="13.5" thickBot="1" x14ac:dyDescent="0.25">
      <c r="B25" s="127" t="s">
        <v>32</v>
      </c>
      <c r="C25" s="126">
        <v>46077</v>
      </c>
      <c r="D25" s="124"/>
      <c r="E25" s="125"/>
      <c r="F25" s="124"/>
      <c r="G25" s="124"/>
      <c r="H25" s="124"/>
      <c r="I25" s="124"/>
      <c r="J25" s="123"/>
    </row>
    <row r="26" spans="2:10" ht="19.5" thickBot="1" x14ac:dyDescent="0.35">
      <c r="B26" s="203" t="s">
        <v>20</v>
      </c>
      <c r="C26" s="204"/>
      <c r="D26" s="204"/>
      <c r="E26" s="204"/>
      <c r="F26" s="204"/>
      <c r="G26" s="204"/>
      <c r="H26" s="204"/>
      <c r="I26" s="204"/>
      <c r="J26" s="205"/>
    </row>
    <row r="27" spans="2:10" x14ac:dyDescent="0.2">
      <c r="B27" s="122" t="s">
        <v>21</v>
      </c>
      <c r="C27" s="121"/>
      <c r="D27" s="120">
        <v>1</v>
      </c>
      <c r="E27" s="120">
        <v>1</v>
      </c>
      <c r="F27" s="119"/>
      <c r="G27" s="119"/>
      <c r="H27" s="119"/>
      <c r="I27" s="119"/>
      <c r="J27" s="118"/>
    </row>
    <row r="28" spans="2:10" x14ac:dyDescent="0.2">
      <c r="B28" s="117" t="s">
        <v>22</v>
      </c>
      <c r="C28" s="116">
        <v>46056</v>
      </c>
      <c r="D28" s="115">
        <v>0</v>
      </c>
      <c r="E28" s="115">
        <v>0</v>
      </c>
      <c r="F28" s="114"/>
      <c r="G28" s="114"/>
      <c r="H28" s="114"/>
      <c r="I28" s="114"/>
      <c r="J28" s="113"/>
    </row>
    <row r="29" spans="2:10" x14ac:dyDescent="0.2">
      <c r="B29" s="117" t="s">
        <v>22</v>
      </c>
      <c r="C29" s="116">
        <v>46058</v>
      </c>
      <c r="D29" s="115">
        <v>0</v>
      </c>
      <c r="E29" s="115">
        <v>0</v>
      </c>
      <c r="F29" s="114"/>
      <c r="G29" s="114"/>
      <c r="H29" s="114"/>
      <c r="I29" s="114"/>
      <c r="J29" s="113"/>
    </row>
    <row r="30" spans="2:10" x14ac:dyDescent="0.2">
      <c r="B30" s="117" t="s">
        <v>22</v>
      </c>
      <c r="C30" s="116">
        <v>46063</v>
      </c>
      <c r="D30" s="115">
        <v>0</v>
      </c>
      <c r="E30" s="115">
        <v>0</v>
      </c>
      <c r="F30" s="114"/>
      <c r="G30" s="114"/>
      <c r="H30" s="114"/>
      <c r="I30" s="114"/>
      <c r="J30" s="113"/>
    </row>
    <row r="31" spans="2:10" x14ac:dyDescent="0.2">
      <c r="B31" s="117" t="s">
        <v>22</v>
      </c>
      <c r="C31" s="116">
        <v>46065</v>
      </c>
      <c r="D31" s="114"/>
      <c r="E31" s="115"/>
      <c r="F31" s="114"/>
      <c r="G31" s="114"/>
      <c r="H31" s="114"/>
      <c r="I31" s="114"/>
      <c r="J31" s="113"/>
    </row>
    <row r="32" spans="2:10" x14ac:dyDescent="0.2">
      <c r="B32" s="117" t="s">
        <v>22</v>
      </c>
      <c r="C32" s="116">
        <v>46070</v>
      </c>
      <c r="D32" s="114"/>
      <c r="E32" s="115"/>
      <c r="F32" s="114"/>
      <c r="G32" s="114"/>
      <c r="H32" s="114"/>
      <c r="I32" s="114"/>
      <c r="J32" s="113"/>
    </row>
    <row r="33" spans="2:10" x14ac:dyDescent="0.2">
      <c r="B33" s="117" t="s">
        <v>22</v>
      </c>
      <c r="C33" s="116">
        <v>46072</v>
      </c>
      <c r="D33" s="114"/>
      <c r="E33" s="115"/>
      <c r="F33" s="114"/>
      <c r="G33" s="114"/>
      <c r="H33" s="114"/>
      <c r="I33" s="114"/>
      <c r="J33" s="113"/>
    </row>
    <row r="34" spans="2:10" ht="13.5" thickBot="1" x14ac:dyDescent="0.25">
      <c r="B34" s="112" t="s">
        <v>22</v>
      </c>
      <c r="C34" s="111">
        <v>46077</v>
      </c>
      <c r="D34" s="109"/>
      <c r="E34" s="110"/>
      <c r="F34" s="109"/>
      <c r="G34" s="109"/>
      <c r="H34" s="109"/>
      <c r="I34" s="109"/>
      <c r="J34" s="108"/>
    </row>
    <row r="35" spans="2:10" ht="19.5" thickBot="1" x14ac:dyDescent="0.35">
      <c r="B35" s="206" t="s">
        <v>25</v>
      </c>
      <c r="C35" s="207"/>
      <c r="D35" s="207"/>
      <c r="E35" s="207"/>
      <c r="F35" s="207"/>
      <c r="G35" s="207"/>
      <c r="H35" s="207"/>
      <c r="I35" s="207"/>
      <c r="J35" s="208"/>
    </row>
    <row r="36" spans="2:10" x14ac:dyDescent="0.2">
      <c r="B36" s="107" t="s">
        <v>27</v>
      </c>
      <c r="C36" s="106"/>
      <c r="D36" s="104"/>
      <c r="E36" s="105"/>
      <c r="F36" s="104"/>
      <c r="G36" s="104"/>
      <c r="H36" s="104"/>
      <c r="I36" s="104"/>
      <c r="J36" s="103"/>
    </row>
    <row r="37" spans="2:10" ht="13.5" thickBot="1" x14ac:dyDescent="0.25">
      <c r="B37" s="102" t="s">
        <v>28</v>
      </c>
      <c r="C37" s="101"/>
      <c r="D37" s="100">
        <f>SUM(D4:D8,D10:D14,D16:D19,D21:D25,D27:D34)</f>
        <v>11.5</v>
      </c>
      <c r="E37" s="100"/>
      <c r="F37" s="99"/>
      <c r="G37" s="99"/>
      <c r="H37" s="99"/>
      <c r="I37" s="99"/>
      <c r="J37" s="98"/>
    </row>
  </sheetData>
  <mergeCells count="6">
    <mergeCell ref="B15:J15"/>
    <mergeCell ref="B20:J20"/>
    <mergeCell ref="B26:J26"/>
    <mergeCell ref="B35:J35"/>
    <mergeCell ref="B3:J3"/>
    <mergeCell ref="B9:J9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50FF0-2035-4A4A-8DBB-FF7BAD6F02C6}">
  <dimension ref="B1:J50"/>
  <sheetViews>
    <sheetView workbookViewId="0">
      <selection activeCell="D21" sqref="D21"/>
    </sheetView>
  </sheetViews>
  <sheetFormatPr baseColWidth="10" defaultRowHeight="12.75" x14ac:dyDescent="0.2"/>
  <cols>
    <col min="1" max="1" width="2.7109375" customWidth="1"/>
    <col min="2" max="2" width="43" bestFit="1" customWidth="1"/>
    <col min="3" max="3" width="9.85546875" bestFit="1" customWidth="1"/>
    <col min="4" max="4" width="16.5703125" bestFit="1" customWidth="1"/>
    <col min="5" max="5" width="14.42578125" bestFit="1" customWidth="1"/>
    <col min="6" max="6" width="11.28515625" bestFit="1" customWidth="1"/>
  </cols>
  <sheetData>
    <row r="1" spans="2:10" ht="13.5" thickBot="1" x14ac:dyDescent="0.25"/>
    <row r="2" spans="2:10" ht="19.5" thickBot="1" x14ac:dyDescent="0.35">
      <c r="B2" s="183" t="s">
        <v>54</v>
      </c>
      <c r="C2" s="181" t="s">
        <v>53</v>
      </c>
      <c r="D2" s="182" t="s">
        <v>51</v>
      </c>
      <c r="E2" s="181" t="s">
        <v>52</v>
      </c>
      <c r="F2" s="181"/>
      <c r="G2" s="181"/>
      <c r="H2" s="181"/>
      <c r="I2" s="181"/>
      <c r="J2" s="180"/>
    </row>
    <row r="3" spans="2:10" ht="19.5" thickBot="1" x14ac:dyDescent="0.35">
      <c r="B3" s="209" t="s">
        <v>14</v>
      </c>
      <c r="C3" s="210"/>
      <c r="D3" s="210"/>
      <c r="E3" s="210"/>
      <c r="F3" s="210"/>
      <c r="G3" s="210"/>
      <c r="H3" s="210"/>
      <c r="I3" s="210"/>
      <c r="J3" s="211"/>
    </row>
    <row r="4" spans="2:10" x14ac:dyDescent="0.2">
      <c r="B4" s="190" t="s">
        <v>50</v>
      </c>
      <c r="C4" s="189">
        <v>46056</v>
      </c>
      <c r="D4" s="176">
        <v>0.65</v>
      </c>
      <c r="E4" s="171">
        <v>1</v>
      </c>
      <c r="F4" s="171"/>
      <c r="G4" s="171"/>
      <c r="H4" s="171"/>
      <c r="I4" s="171"/>
      <c r="J4" s="188"/>
    </row>
    <row r="5" spans="2:10" x14ac:dyDescent="0.2">
      <c r="B5" s="173" t="s">
        <v>48</v>
      </c>
      <c r="C5" s="172">
        <v>46056</v>
      </c>
      <c r="D5" s="170">
        <v>0.65</v>
      </c>
      <c r="E5" s="170">
        <v>1</v>
      </c>
      <c r="F5" s="170"/>
      <c r="G5" s="170"/>
      <c r="H5" s="170"/>
      <c r="I5" s="170"/>
      <c r="J5" s="187"/>
    </row>
    <row r="6" spans="2:10" x14ac:dyDescent="0.2">
      <c r="B6" s="173" t="s">
        <v>47</v>
      </c>
      <c r="C6" s="172">
        <v>46056</v>
      </c>
      <c r="D6" s="171">
        <v>0.65</v>
      </c>
      <c r="E6" s="170">
        <v>1</v>
      </c>
      <c r="F6" s="170"/>
      <c r="G6" s="170"/>
      <c r="H6" s="170"/>
      <c r="I6" s="170"/>
      <c r="J6" s="187"/>
    </row>
    <row r="7" spans="2:10" x14ac:dyDescent="0.2">
      <c r="B7" s="173" t="s">
        <v>46</v>
      </c>
      <c r="C7" s="172">
        <v>46056</v>
      </c>
      <c r="D7" s="171">
        <v>0.65</v>
      </c>
      <c r="E7" s="170">
        <v>1</v>
      </c>
      <c r="F7" s="170"/>
      <c r="G7" s="170"/>
      <c r="H7" s="170"/>
      <c r="I7" s="170"/>
      <c r="J7" s="187"/>
    </row>
    <row r="8" spans="2:10" ht="13.5" thickBot="1" x14ac:dyDescent="0.25">
      <c r="B8" s="167" t="s">
        <v>45</v>
      </c>
      <c r="C8" s="166">
        <v>46056</v>
      </c>
      <c r="D8" s="165">
        <v>0.65</v>
      </c>
      <c r="E8" s="164">
        <v>0.5</v>
      </c>
      <c r="F8" s="164"/>
      <c r="G8" s="164"/>
      <c r="H8" s="164"/>
      <c r="I8" s="164"/>
      <c r="J8" s="186"/>
    </row>
    <row r="9" spans="2:10" ht="19.5" thickBot="1" x14ac:dyDescent="0.35">
      <c r="B9" s="212" t="s">
        <v>15</v>
      </c>
      <c r="C9" s="213"/>
      <c r="D9" s="213"/>
      <c r="E9" s="213"/>
      <c r="F9" s="213"/>
      <c r="G9" s="213"/>
      <c r="H9" s="213"/>
      <c r="I9" s="213"/>
      <c r="J9" s="214"/>
    </row>
    <row r="10" spans="2:10" x14ac:dyDescent="0.2">
      <c r="B10" s="161" t="s">
        <v>44</v>
      </c>
      <c r="C10" s="160">
        <v>46063</v>
      </c>
      <c r="D10" s="159">
        <v>0.65</v>
      </c>
      <c r="E10" s="159">
        <v>1</v>
      </c>
      <c r="F10" s="159"/>
      <c r="G10" s="159"/>
      <c r="H10" s="159"/>
      <c r="I10" s="159"/>
      <c r="J10" s="194"/>
    </row>
    <row r="11" spans="2:10" x14ac:dyDescent="0.2">
      <c r="B11" s="158" t="s">
        <v>43</v>
      </c>
      <c r="C11" s="157">
        <v>46063</v>
      </c>
      <c r="D11" s="156">
        <v>0.65</v>
      </c>
      <c r="E11" s="156">
        <v>1</v>
      </c>
      <c r="F11" s="156"/>
      <c r="G11" s="156"/>
      <c r="H11" s="156"/>
      <c r="I11" s="156"/>
      <c r="J11" s="185"/>
    </row>
    <row r="12" spans="2:10" x14ac:dyDescent="0.2">
      <c r="B12" s="158" t="s">
        <v>42</v>
      </c>
      <c r="C12" s="157">
        <v>46063</v>
      </c>
      <c r="D12" s="156">
        <v>0.65</v>
      </c>
      <c r="E12" s="156">
        <v>1</v>
      </c>
      <c r="F12" s="156"/>
      <c r="G12" s="156"/>
      <c r="H12" s="156"/>
      <c r="I12" s="156"/>
      <c r="J12" s="185"/>
    </row>
    <row r="13" spans="2:10" x14ac:dyDescent="0.2">
      <c r="B13" s="158" t="s">
        <v>41</v>
      </c>
      <c r="C13" s="157">
        <v>46063</v>
      </c>
      <c r="D13" s="156">
        <v>0.65</v>
      </c>
      <c r="E13" s="156">
        <v>1</v>
      </c>
      <c r="F13" s="156"/>
      <c r="G13" s="156"/>
      <c r="H13" s="156"/>
      <c r="I13" s="156"/>
      <c r="J13" s="185"/>
    </row>
    <row r="14" spans="2:10" ht="13.5" thickBot="1" x14ac:dyDescent="0.25">
      <c r="B14" s="155" t="s">
        <v>40</v>
      </c>
      <c r="C14" s="154">
        <v>46063</v>
      </c>
      <c r="D14" s="153">
        <v>0.65</v>
      </c>
      <c r="E14" s="153">
        <v>1</v>
      </c>
      <c r="F14" s="153"/>
      <c r="G14" s="153"/>
      <c r="H14" s="153"/>
      <c r="I14" s="153"/>
      <c r="J14" s="195"/>
    </row>
    <row r="15" spans="2:10" ht="19.5" thickBot="1" x14ac:dyDescent="0.35">
      <c r="B15" s="197" t="s">
        <v>16</v>
      </c>
      <c r="C15" s="198"/>
      <c r="D15" s="198"/>
      <c r="E15" s="198"/>
      <c r="F15" s="198"/>
      <c r="G15" s="198"/>
      <c r="H15" s="198"/>
      <c r="I15" s="198"/>
      <c r="J15" s="199"/>
    </row>
    <row r="16" spans="2:10" x14ac:dyDescent="0.2">
      <c r="B16" s="152" t="s">
        <v>39</v>
      </c>
      <c r="C16" s="151">
        <v>46070</v>
      </c>
      <c r="D16" s="150">
        <v>1</v>
      </c>
      <c r="E16" s="150"/>
      <c r="F16" s="149"/>
      <c r="G16" s="149"/>
      <c r="H16" s="149"/>
      <c r="I16" s="149"/>
      <c r="J16" s="148"/>
    </row>
    <row r="17" spans="2:10" x14ac:dyDescent="0.2">
      <c r="B17" s="147" t="s">
        <v>17</v>
      </c>
      <c r="C17" s="146">
        <v>46070</v>
      </c>
      <c r="D17" s="145">
        <v>1</v>
      </c>
      <c r="E17" s="145"/>
      <c r="F17" s="144"/>
      <c r="G17" s="144"/>
      <c r="H17" s="144"/>
      <c r="I17" s="144"/>
      <c r="J17" s="143"/>
    </row>
    <row r="18" spans="2:10" x14ac:dyDescent="0.2">
      <c r="B18" s="147" t="s">
        <v>38</v>
      </c>
      <c r="C18" s="146">
        <v>46070</v>
      </c>
      <c r="D18" s="145">
        <v>1</v>
      </c>
      <c r="E18" s="145"/>
      <c r="F18" s="144"/>
      <c r="G18" s="144"/>
      <c r="H18" s="144"/>
      <c r="I18" s="144"/>
      <c r="J18" s="143"/>
    </row>
    <row r="19" spans="2:10" ht="13.5" thickBot="1" x14ac:dyDescent="0.25">
      <c r="B19" s="142" t="s">
        <v>37</v>
      </c>
      <c r="C19" s="141">
        <v>46070</v>
      </c>
      <c r="D19" s="140">
        <v>1</v>
      </c>
      <c r="E19" s="140"/>
      <c r="F19" s="139"/>
      <c r="G19" s="139"/>
      <c r="H19" s="139"/>
      <c r="I19" s="139"/>
      <c r="J19" s="138"/>
    </row>
    <row r="20" spans="2:10" ht="19.5" thickBot="1" x14ac:dyDescent="0.35">
      <c r="B20" s="200" t="s">
        <v>18</v>
      </c>
      <c r="C20" s="201"/>
      <c r="D20" s="201"/>
      <c r="E20" s="201"/>
      <c r="F20" s="201"/>
      <c r="G20" s="201"/>
      <c r="H20" s="201"/>
      <c r="I20" s="201"/>
      <c r="J20" s="202"/>
    </row>
    <row r="21" spans="2:10" x14ac:dyDescent="0.2">
      <c r="B21" s="137" t="s">
        <v>36</v>
      </c>
      <c r="C21" s="136">
        <v>46077</v>
      </c>
      <c r="D21" s="134"/>
      <c r="E21" s="135"/>
      <c r="F21" s="134"/>
      <c r="G21" s="134"/>
      <c r="H21" s="134"/>
      <c r="I21" s="134"/>
      <c r="J21" s="133"/>
    </row>
    <row r="22" spans="2:10" x14ac:dyDescent="0.2">
      <c r="B22" s="132" t="s">
        <v>35</v>
      </c>
      <c r="C22" s="131">
        <v>46077</v>
      </c>
      <c r="D22" s="129"/>
      <c r="E22" s="130"/>
      <c r="F22" s="129"/>
      <c r="G22" s="129"/>
      <c r="H22" s="129"/>
      <c r="I22" s="129"/>
      <c r="J22" s="128"/>
    </row>
    <row r="23" spans="2:10" x14ac:dyDescent="0.2">
      <c r="B23" s="132" t="s">
        <v>34</v>
      </c>
      <c r="C23" s="131">
        <v>46077</v>
      </c>
      <c r="D23" s="129"/>
      <c r="E23" s="130"/>
      <c r="F23" s="129"/>
      <c r="G23" s="129"/>
      <c r="H23" s="129"/>
      <c r="I23" s="129"/>
      <c r="J23" s="128"/>
    </row>
    <row r="24" spans="2:10" x14ac:dyDescent="0.2">
      <c r="B24" s="132" t="s">
        <v>33</v>
      </c>
      <c r="C24" s="131">
        <v>46077</v>
      </c>
      <c r="D24" s="129"/>
      <c r="E24" s="130"/>
      <c r="F24" s="129"/>
      <c r="G24" s="129"/>
      <c r="H24" s="129"/>
      <c r="I24" s="129"/>
      <c r="J24" s="128"/>
    </row>
    <row r="25" spans="2:10" ht="13.5" thickBot="1" x14ac:dyDescent="0.25">
      <c r="B25" s="127" t="s">
        <v>32</v>
      </c>
      <c r="C25" s="126">
        <v>46077</v>
      </c>
      <c r="D25" s="124"/>
      <c r="E25" s="125"/>
      <c r="F25" s="124"/>
      <c r="G25" s="124"/>
      <c r="H25" s="124"/>
      <c r="I25" s="124"/>
      <c r="J25" s="123"/>
    </row>
    <row r="26" spans="2:10" ht="19.5" thickBot="1" x14ac:dyDescent="0.35">
      <c r="B26" s="203" t="s">
        <v>20</v>
      </c>
      <c r="C26" s="204"/>
      <c r="D26" s="204"/>
      <c r="E26" s="204"/>
      <c r="F26" s="204"/>
      <c r="G26" s="204"/>
      <c r="H26" s="204"/>
      <c r="I26" s="204"/>
      <c r="J26" s="205"/>
    </row>
    <row r="27" spans="2:10" x14ac:dyDescent="0.2">
      <c r="B27" s="122" t="s">
        <v>21</v>
      </c>
      <c r="C27" s="121"/>
      <c r="D27" s="119"/>
      <c r="E27" s="120"/>
      <c r="F27" s="119"/>
      <c r="G27" s="119"/>
      <c r="H27" s="119"/>
      <c r="I27" s="119"/>
      <c r="J27" s="118"/>
    </row>
    <row r="28" spans="2:10" x14ac:dyDescent="0.2">
      <c r="B28" s="117" t="s">
        <v>22</v>
      </c>
      <c r="C28" s="116">
        <v>46056</v>
      </c>
      <c r="D28" s="115">
        <v>0.5</v>
      </c>
      <c r="E28" s="115">
        <v>0.5</v>
      </c>
      <c r="F28" s="114"/>
      <c r="G28" s="114"/>
      <c r="H28" s="114"/>
      <c r="I28" s="114"/>
      <c r="J28" s="113"/>
    </row>
    <row r="29" spans="2:10" x14ac:dyDescent="0.2">
      <c r="B29" s="117" t="s">
        <v>22</v>
      </c>
      <c r="C29" s="116">
        <v>46058</v>
      </c>
      <c r="D29" s="115">
        <v>0.5</v>
      </c>
      <c r="E29" s="115">
        <v>0.5</v>
      </c>
      <c r="F29" s="114"/>
      <c r="G29" s="114"/>
      <c r="H29" s="114"/>
      <c r="I29" s="114"/>
      <c r="J29" s="113"/>
    </row>
    <row r="30" spans="2:10" x14ac:dyDescent="0.2">
      <c r="B30" s="117" t="s">
        <v>22</v>
      </c>
      <c r="C30" s="116">
        <v>46063</v>
      </c>
      <c r="D30" s="115">
        <v>0.5</v>
      </c>
      <c r="E30" s="115">
        <v>0.5</v>
      </c>
      <c r="F30" s="114"/>
      <c r="G30" s="114"/>
      <c r="H30" s="114"/>
      <c r="I30" s="114"/>
      <c r="J30" s="113"/>
    </row>
    <row r="31" spans="2:10" x14ac:dyDescent="0.2">
      <c r="B31" s="117" t="s">
        <v>22</v>
      </c>
      <c r="C31" s="116">
        <v>46065</v>
      </c>
      <c r="D31" s="114"/>
      <c r="E31" s="115"/>
      <c r="F31" s="114"/>
      <c r="G31" s="114"/>
      <c r="H31" s="114"/>
      <c r="I31" s="114"/>
      <c r="J31" s="113"/>
    </row>
    <row r="32" spans="2:10" x14ac:dyDescent="0.2">
      <c r="B32" s="117" t="s">
        <v>22</v>
      </c>
      <c r="C32" s="116">
        <v>46070</v>
      </c>
      <c r="D32" s="114"/>
      <c r="E32" s="115"/>
      <c r="F32" s="114"/>
      <c r="G32" s="114"/>
      <c r="H32" s="114"/>
      <c r="I32" s="114"/>
      <c r="J32" s="113"/>
    </row>
    <row r="33" spans="2:10" x14ac:dyDescent="0.2">
      <c r="B33" s="117" t="s">
        <v>22</v>
      </c>
      <c r="C33" s="116">
        <v>46072</v>
      </c>
      <c r="D33" s="114"/>
      <c r="E33" s="115"/>
      <c r="F33" s="114"/>
      <c r="G33" s="114"/>
      <c r="H33" s="114"/>
      <c r="I33" s="114"/>
      <c r="J33" s="113"/>
    </row>
    <row r="34" spans="2:10" ht="13.5" thickBot="1" x14ac:dyDescent="0.25">
      <c r="B34" s="112" t="s">
        <v>22</v>
      </c>
      <c r="C34" s="111">
        <v>46077</v>
      </c>
      <c r="D34" s="109"/>
      <c r="E34" s="110"/>
      <c r="F34" s="109"/>
      <c r="G34" s="109"/>
      <c r="H34" s="109"/>
      <c r="I34" s="109"/>
      <c r="J34" s="108"/>
    </row>
    <row r="35" spans="2:10" ht="19.5" thickBot="1" x14ac:dyDescent="0.35">
      <c r="B35" s="206" t="s">
        <v>25</v>
      </c>
      <c r="C35" s="207"/>
      <c r="D35" s="207"/>
      <c r="E35" s="207"/>
      <c r="F35" s="207"/>
      <c r="G35" s="207"/>
      <c r="H35" s="207"/>
      <c r="I35" s="207"/>
      <c r="J35" s="208"/>
    </row>
    <row r="36" spans="2:10" x14ac:dyDescent="0.2">
      <c r="B36" s="107" t="s">
        <v>27</v>
      </c>
      <c r="C36" s="106"/>
      <c r="D36" s="105"/>
      <c r="E36" s="105"/>
      <c r="F36" s="105"/>
      <c r="G36" s="105"/>
      <c r="H36" s="105"/>
      <c r="I36" s="105"/>
      <c r="J36" s="196"/>
    </row>
    <row r="37" spans="2:10" ht="13.5" thickBot="1" x14ac:dyDescent="0.25">
      <c r="B37" s="102" t="s">
        <v>28</v>
      </c>
      <c r="C37" s="101"/>
      <c r="D37" s="100">
        <f>SUM(D4:D8,D10:D14,D16:D19,D21:D25,D27:D34)</f>
        <v>12</v>
      </c>
      <c r="E37" s="100"/>
      <c r="F37" s="100"/>
      <c r="G37" s="100"/>
      <c r="H37" s="100"/>
      <c r="I37" s="100"/>
      <c r="J37" s="184"/>
    </row>
    <row r="38" spans="2:10" x14ac:dyDescent="0.2">
      <c r="E38" s="97"/>
    </row>
    <row r="39" spans="2:10" x14ac:dyDescent="0.2">
      <c r="E39" s="97"/>
    </row>
    <row r="40" spans="2:10" x14ac:dyDescent="0.2">
      <c r="E40" s="97"/>
    </row>
    <row r="41" spans="2:10" x14ac:dyDescent="0.2">
      <c r="E41" s="97"/>
    </row>
    <row r="42" spans="2:10" x14ac:dyDescent="0.2">
      <c r="E42" s="97"/>
    </row>
    <row r="43" spans="2:10" x14ac:dyDescent="0.2">
      <c r="E43" s="97"/>
    </row>
    <row r="44" spans="2:10" x14ac:dyDescent="0.2">
      <c r="E44" s="97"/>
    </row>
    <row r="45" spans="2:10" x14ac:dyDescent="0.2">
      <c r="E45" s="97"/>
    </row>
    <row r="46" spans="2:10" x14ac:dyDescent="0.2">
      <c r="E46" s="97"/>
    </row>
    <row r="47" spans="2:10" x14ac:dyDescent="0.2">
      <c r="E47" s="97"/>
    </row>
    <row r="48" spans="2:10" x14ac:dyDescent="0.2">
      <c r="E48" s="97"/>
    </row>
    <row r="49" spans="5:5" x14ac:dyDescent="0.2">
      <c r="E49" s="97"/>
    </row>
    <row r="50" spans="5:5" x14ac:dyDescent="0.2">
      <c r="E50" s="97"/>
    </row>
  </sheetData>
  <mergeCells count="6">
    <mergeCell ref="B35:J35"/>
    <mergeCell ref="B3:J3"/>
    <mergeCell ref="B9:J9"/>
    <mergeCell ref="B15:J15"/>
    <mergeCell ref="B20:J20"/>
    <mergeCell ref="B26:J26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E69FA-A437-451E-9374-43A7A086547F}">
  <dimension ref="B1:J50"/>
  <sheetViews>
    <sheetView workbookViewId="0">
      <selection activeCell="B20" sqref="B20:J20"/>
    </sheetView>
  </sheetViews>
  <sheetFormatPr baseColWidth="10" defaultRowHeight="12.75" x14ac:dyDescent="0.2"/>
  <cols>
    <col min="1" max="1" width="2.7109375" customWidth="1"/>
    <col min="2" max="2" width="43" bestFit="1" customWidth="1"/>
    <col min="3" max="3" width="9.85546875" bestFit="1" customWidth="1"/>
    <col min="4" max="4" width="16.5703125" bestFit="1" customWidth="1"/>
    <col min="5" max="5" width="14.42578125" bestFit="1" customWidth="1"/>
    <col min="6" max="6" width="11.28515625" bestFit="1" customWidth="1"/>
  </cols>
  <sheetData>
    <row r="1" spans="2:10" ht="13.5" thickBot="1" x14ac:dyDescent="0.25"/>
    <row r="2" spans="2:10" ht="19.5" thickBot="1" x14ac:dyDescent="0.35">
      <c r="B2" s="183" t="s">
        <v>54</v>
      </c>
      <c r="C2" s="181" t="s">
        <v>53</v>
      </c>
      <c r="D2" s="182" t="s">
        <v>51</v>
      </c>
      <c r="E2" s="181" t="s">
        <v>52</v>
      </c>
      <c r="F2" s="181"/>
      <c r="G2" s="181"/>
      <c r="H2" s="181"/>
      <c r="I2" s="181"/>
      <c r="J2" s="180"/>
    </row>
    <row r="3" spans="2:10" ht="19.5" thickBot="1" x14ac:dyDescent="0.35">
      <c r="B3" s="209" t="s">
        <v>14</v>
      </c>
      <c r="C3" s="210"/>
      <c r="D3" s="210"/>
      <c r="E3" s="210"/>
      <c r="F3" s="210"/>
      <c r="G3" s="210"/>
      <c r="H3" s="210"/>
      <c r="I3" s="210"/>
      <c r="J3" s="211"/>
    </row>
    <row r="4" spans="2:10" x14ac:dyDescent="0.2">
      <c r="B4" s="190" t="s">
        <v>50</v>
      </c>
      <c r="C4" s="189">
        <v>46056</v>
      </c>
      <c r="D4" s="176">
        <v>0.65</v>
      </c>
      <c r="E4" s="171">
        <v>0</v>
      </c>
      <c r="F4" s="171"/>
      <c r="G4" s="171"/>
      <c r="H4" s="171"/>
      <c r="I4" s="171"/>
      <c r="J4" s="188"/>
    </row>
    <row r="5" spans="2:10" x14ac:dyDescent="0.2">
      <c r="B5" s="173" t="s">
        <v>48</v>
      </c>
      <c r="C5" s="172">
        <v>46056</v>
      </c>
      <c r="D5" s="170">
        <v>0.65</v>
      </c>
      <c r="E5" s="170">
        <v>5</v>
      </c>
      <c r="F5" s="170"/>
      <c r="G5" s="170"/>
      <c r="H5" s="170"/>
      <c r="I5" s="170"/>
      <c r="J5" s="187"/>
    </row>
    <row r="6" spans="2:10" x14ac:dyDescent="0.2">
      <c r="B6" s="173" t="s">
        <v>47</v>
      </c>
      <c r="C6" s="172">
        <v>46056</v>
      </c>
      <c r="D6" s="171">
        <v>0.65</v>
      </c>
      <c r="E6" s="170">
        <v>0</v>
      </c>
      <c r="F6" s="170"/>
      <c r="G6" s="170"/>
      <c r="H6" s="170"/>
      <c r="I6" s="170"/>
      <c r="J6" s="187"/>
    </row>
    <row r="7" spans="2:10" x14ac:dyDescent="0.2">
      <c r="B7" s="173" t="s">
        <v>46</v>
      </c>
      <c r="C7" s="172">
        <v>46056</v>
      </c>
      <c r="D7" s="171">
        <v>0.65</v>
      </c>
      <c r="E7" s="170">
        <v>0</v>
      </c>
      <c r="F7" s="170"/>
      <c r="G7" s="170"/>
      <c r="H7" s="170"/>
      <c r="I7" s="170"/>
      <c r="J7" s="187"/>
    </row>
    <row r="8" spans="2:10" ht="13.5" thickBot="1" x14ac:dyDescent="0.25">
      <c r="B8" s="167" t="s">
        <v>45</v>
      </c>
      <c r="C8" s="166">
        <v>46056</v>
      </c>
      <c r="D8" s="165">
        <v>0.65</v>
      </c>
      <c r="E8" s="164">
        <v>0.5</v>
      </c>
      <c r="F8" s="164"/>
      <c r="G8" s="164"/>
      <c r="H8" s="164"/>
      <c r="I8" s="164"/>
      <c r="J8" s="186"/>
    </row>
    <row r="9" spans="2:10" ht="19.5" thickBot="1" x14ac:dyDescent="0.35">
      <c r="B9" s="212" t="s">
        <v>15</v>
      </c>
      <c r="C9" s="213"/>
      <c r="D9" s="213"/>
      <c r="E9" s="213"/>
      <c r="F9" s="213"/>
      <c r="G9" s="213"/>
      <c r="H9" s="213"/>
      <c r="I9" s="213"/>
      <c r="J9" s="214"/>
    </row>
    <row r="10" spans="2:10" x14ac:dyDescent="0.2">
      <c r="B10" s="161" t="s">
        <v>44</v>
      </c>
      <c r="C10" s="160">
        <v>46063</v>
      </c>
      <c r="D10" s="159">
        <v>0.65</v>
      </c>
      <c r="E10" s="159">
        <v>1</v>
      </c>
      <c r="F10" s="159"/>
      <c r="G10" s="159"/>
      <c r="H10" s="159"/>
      <c r="I10" s="159"/>
      <c r="J10" s="194"/>
    </row>
    <row r="11" spans="2:10" x14ac:dyDescent="0.2">
      <c r="B11" s="158" t="s">
        <v>43</v>
      </c>
      <c r="C11" s="157">
        <v>46063</v>
      </c>
      <c r="D11" s="156">
        <v>0.65</v>
      </c>
      <c r="E11" s="156">
        <v>0</v>
      </c>
      <c r="F11" s="156"/>
      <c r="G11" s="156"/>
      <c r="H11" s="156"/>
      <c r="I11" s="156"/>
      <c r="J11" s="185"/>
    </row>
    <row r="12" spans="2:10" x14ac:dyDescent="0.2">
      <c r="B12" s="158" t="s">
        <v>42</v>
      </c>
      <c r="C12" s="157">
        <v>46063</v>
      </c>
      <c r="D12" s="156">
        <v>0.65</v>
      </c>
      <c r="E12" s="156">
        <v>0</v>
      </c>
      <c r="F12" s="156"/>
      <c r="G12" s="156"/>
      <c r="H12" s="156"/>
      <c r="I12" s="156"/>
      <c r="J12" s="185"/>
    </row>
    <row r="13" spans="2:10" x14ac:dyDescent="0.2">
      <c r="B13" s="158" t="s">
        <v>41</v>
      </c>
      <c r="C13" s="157">
        <v>46063</v>
      </c>
      <c r="D13" s="156">
        <v>0.65</v>
      </c>
      <c r="E13" s="156">
        <v>1</v>
      </c>
      <c r="F13" s="156"/>
      <c r="G13" s="156"/>
      <c r="H13" s="156"/>
      <c r="I13" s="156"/>
      <c r="J13" s="185"/>
    </row>
    <row r="14" spans="2:10" ht="13.5" thickBot="1" x14ac:dyDescent="0.25">
      <c r="B14" s="155" t="s">
        <v>40</v>
      </c>
      <c r="C14" s="154">
        <v>46063</v>
      </c>
      <c r="D14" s="153">
        <v>0.65</v>
      </c>
      <c r="E14" s="153">
        <v>1</v>
      </c>
      <c r="F14" s="153"/>
      <c r="G14" s="153"/>
      <c r="H14" s="153"/>
      <c r="I14" s="153"/>
      <c r="J14" s="195"/>
    </row>
    <row r="15" spans="2:10" ht="19.5" thickBot="1" x14ac:dyDescent="0.35">
      <c r="B15" s="197" t="s">
        <v>16</v>
      </c>
      <c r="C15" s="198"/>
      <c r="D15" s="198"/>
      <c r="E15" s="198"/>
      <c r="F15" s="198"/>
      <c r="G15" s="198"/>
      <c r="H15" s="198"/>
      <c r="I15" s="198"/>
      <c r="J15" s="199"/>
    </row>
    <row r="16" spans="2:10" x14ac:dyDescent="0.2">
      <c r="B16" s="152" t="s">
        <v>39</v>
      </c>
      <c r="C16" s="151">
        <v>46070</v>
      </c>
      <c r="D16" s="150">
        <v>1</v>
      </c>
      <c r="E16" s="150"/>
      <c r="F16" s="149"/>
      <c r="G16" s="149"/>
      <c r="H16" s="149"/>
      <c r="I16" s="149"/>
      <c r="J16" s="148"/>
    </row>
    <row r="17" spans="2:10" x14ac:dyDescent="0.2">
      <c r="B17" s="147" t="s">
        <v>17</v>
      </c>
      <c r="C17" s="146">
        <v>46070</v>
      </c>
      <c r="D17" s="145">
        <v>1</v>
      </c>
      <c r="E17" s="145"/>
      <c r="F17" s="144"/>
      <c r="G17" s="144"/>
      <c r="H17" s="144"/>
      <c r="I17" s="144"/>
      <c r="J17" s="143"/>
    </row>
    <row r="18" spans="2:10" x14ac:dyDescent="0.2">
      <c r="B18" s="147" t="s">
        <v>38</v>
      </c>
      <c r="C18" s="146">
        <v>46070</v>
      </c>
      <c r="D18" s="145">
        <v>1</v>
      </c>
      <c r="E18" s="145"/>
      <c r="F18" s="144"/>
      <c r="G18" s="144"/>
      <c r="H18" s="144"/>
      <c r="I18" s="144"/>
      <c r="J18" s="143"/>
    </row>
    <row r="19" spans="2:10" ht="13.5" thickBot="1" x14ac:dyDescent="0.25">
      <c r="B19" s="142" t="s">
        <v>37</v>
      </c>
      <c r="C19" s="141">
        <v>46070</v>
      </c>
      <c r="D19" s="140">
        <v>1</v>
      </c>
      <c r="E19" s="140"/>
      <c r="F19" s="139"/>
      <c r="G19" s="139"/>
      <c r="H19" s="139"/>
      <c r="I19" s="139"/>
      <c r="J19" s="138"/>
    </row>
    <row r="20" spans="2:10" ht="19.5" thickBot="1" x14ac:dyDescent="0.35">
      <c r="B20" s="200" t="s">
        <v>18</v>
      </c>
      <c r="C20" s="201"/>
      <c r="D20" s="201"/>
      <c r="E20" s="201"/>
      <c r="F20" s="201"/>
      <c r="G20" s="201"/>
      <c r="H20" s="201"/>
      <c r="I20" s="201"/>
      <c r="J20" s="202"/>
    </row>
    <row r="21" spans="2:10" x14ac:dyDescent="0.2">
      <c r="B21" s="137" t="s">
        <v>36</v>
      </c>
      <c r="C21" s="136">
        <v>46077</v>
      </c>
      <c r="D21" s="134"/>
      <c r="E21" s="135"/>
      <c r="F21" s="134"/>
      <c r="G21" s="134"/>
      <c r="H21" s="134"/>
      <c r="I21" s="134"/>
      <c r="J21" s="133"/>
    </row>
    <row r="22" spans="2:10" x14ac:dyDescent="0.2">
      <c r="B22" s="132" t="s">
        <v>35</v>
      </c>
      <c r="C22" s="131">
        <v>46077</v>
      </c>
      <c r="D22" s="129"/>
      <c r="E22" s="130"/>
      <c r="F22" s="129"/>
      <c r="G22" s="129"/>
      <c r="H22" s="129"/>
      <c r="I22" s="129"/>
      <c r="J22" s="128"/>
    </row>
    <row r="23" spans="2:10" x14ac:dyDescent="0.2">
      <c r="B23" s="132" t="s">
        <v>34</v>
      </c>
      <c r="C23" s="131">
        <v>46077</v>
      </c>
      <c r="D23" s="129"/>
      <c r="E23" s="130"/>
      <c r="F23" s="129"/>
      <c r="G23" s="129"/>
      <c r="H23" s="129"/>
      <c r="I23" s="129"/>
      <c r="J23" s="128"/>
    </row>
    <row r="24" spans="2:10" x14ac:dyDescent="0.2">
      <c r="B24" s="132" t="s">
        <v>33</v>
      </c>
      <c r="C24" s="131">
        <v>46077</v>
      </c>
      <c r="D24" s="129"/>
      <c r="E24" s="130"/>
      <c r="F24" s="129"/>
      <c r="G24" s="129"/>
      <c r="H24" s="129"/>
      <c r="I24" s="129"/>
      <c r="J24" s="128"/>
    </row>
    <row r="25" spans="2:10" ht="13.5" thickBot="1" x14ac:dyDescent="0.25">
      <c r="B25" s="127" t="s">
        <v>32</v>
      </c>
      <c r="C25" s="126">
        <v>46077</v>
      </c>
      <c r="D25" s="124"/>
      <c r="E25" s="125"/>
      <c r="F25" s="124"/>
      <c r="G25" s="124"/>
      <c r="H25" s="124"/>
      <c r="I25" s="124"/>
      <c r="J25" s="123"/>
    </row>
    <row r="26" spans="2:10" ht="19.5" thickBot="1" x14ac:dyDescent="0.35">
      <c r="B26" s="203" t="s">
        <v>20</v>
      </c>
      <c r="C26" s="204"/>
      <c r="D26" s="204"/>
      <c r="E26" s="204"/>
      <c r="F26" s="204"/>
      <c r="G26" s="204"/>
      <c r="H26" s="204"/>
      <c r="I26" s="204"/>
      <c r="J26" s="205"/>
    </row>
    <row r="27" spans="2:10" x14ac:dyDescent="0.2">
      <c r="B27" s="122" t="s">
        <v>21</v>
      </c>
      <c r="C27" s="121"/>
      <c r="D27" s="119"/>
      <c r="E27" s="120"/>
      <c r="F27" s="119"/>
      <c r="G27" s="119"/>
      <c r="H27" s="119"/>
      <c r="I27" s="119"/>
      <c r="J27" s="118"/>
    </row>
    <row r="28" spans="2:10" x14ac:dyDescent="0.2">
      <c r="B28" s="117" t="s">
        <v>22</v>
      </c>
      <c r="C28" s="116">
        <v>46056</v>
      </c>
      <c r="D28" s="115">
        <v>0</v>
      </c>
      <c r="E28" s="115">
        <v>0</v>
      </c>
      <c r="F28" s="114"/>
      <c r="G28" s="114"/>
      <c r="H28" s="114"/>
      <c r="I28" s="114"/>
      <c r="J28" s="113"/>
    </row>
    <row r="29" spans="2:10" x14ac:dyDescent="0.2">
      <c r="B29" s="117" t="s">
        <v>22</v>
      </c>
      <c r="C29" s="116">
        <v>46058</v>
      </c>
      <c r="D29" s="115">
        <v>0</v>
      </c>
      <c r="E29" s="115">
        <v>0</v>
      </c>
      <c r="F29" s="114"/>
      <c r="G29" s="114"/>
      <c r="H29" s="114"/>
      <c r="I29" s="114"/>
      <c r="J29" s="113"/>
    </row>
    <row r="30" spans="2:10" x14ac:dyDescent="0.2">
      <c r="B30" s="117" t="s">
        <v>22</v>
      </c>
      <c r="C30" s="116">
        <v>46063</v>
      </c>
      <c r="D30" s="115">
        <v>0</v>
      </c>
      <c r="E30" s="115">
        <v>0</v>
      </c>
      <c r="F30" s="114"/>
      <c r="G30" s="114"/>
      <c r="H30" s="114"/>
      <c r="I30" s="114"/>
      <c r="J30" s="113"/>
    </row>
    <row r="31" spans="2:10" x14ac:dyDescent="0.2">
      <c r="B31" s="117" t="s">
        <v>22</v>
      </c>
      <c r="C31" s="116">
        <v>46065</v>
      </c>
      <c r="D31" s="114"/>
      <c r="E31" s="115"/>
      <c r="F31" s="114"/>
      <c r="G31" s="114"/>
      <c r="H31" s="114"/>
      <c r="I31" s="114"/>
      <c r="J31" s="113"/>
    </row>
    <row r="32" spans="2:10" x14ac:dyDescent="0.2">
      <c r="B32" s="117" t="s">
        <v>22</v>
      </c>
      <c r="C32" s="116">
        <v>46070</v>
      </c>
      <c r="D32" s="114"/>
      <c r="E32" s="115"/>
      <c r="F32" s="114"/>
      <c r="G32" s="114"/>
      <c r="H32" s="114"/>
      <c r="I32" s="114"/>
      <c r="J32" s="113"/>
    </row>
    <row r="33" spans="2:10" x14ac:dyDescent="0.2">
      <c r="B33" s="117" t="s">
        <v>22</v>
      </c>
      <c r="C33" s="116">
        <v>46072</v>
      </c>
      <c r="D33" s="114"/>
      <c r="E33" s="115"/>
      <c r="F33" s="114"/>
      <c r="G33" s="114"/>
      <c r="H33" s="114"/>
      <c r="I33" s="114"/>
      <c r="J33" s="113"/>
    </row>
    <row r="34" spans="2:10" ht="13.5" thickBot="1" x14ac:dyDescent="0.25">
      <c r="B34" s="112" t="s">
        <v>22</v>
      </c>
      <c r="C34" s="111">
        <v>46077</v>
      </c>
      <c r="D34" s="109"/>
      <c r="E34" s="110"/>
      <c r="F34" s="109"/>
      <c r="G34" s="109"/>
      <c r="H34" s="109"/>
      <c r="I34" s="109"/>
      <c r="J34" s="108"/>
    </row>
    <row r="35" spans="2:10" ht="19.5" thickBot="1" x14ac:dyDescent="0.35">
      <c r="B35" s="206" t="s">
        <v>25</v>
      </c>
      <c r="C35" s="207"/>
      <c r="D35" s="207"/>
      <c r="E35" s="207"/>
      <c r="F35" s="207"/>
      <c r="G35" s="207"/>
      <c r="H35" s="207"/>
      <c r="I35" s="207"/>
      <c r="J35" s="208"/>
    </row>
    <row r="36" spans="2:10" x14ac:dyDescent="0.2">
      <c r="B36" s="107" t="s">
        <v>27</v>
      </c>
      <c r="C36" s="106"/>
      <c r="D36" s="104"/>
      <c r="E36" s="105"/>
      <c r="F36" s="104"/>
      <c r="G36" s="104"/>
      <c r="H36" s="104"/>
      <c r="I36" s="104"/>
      <c r="J36" s="103"/>
    </row>
    <row r="37" spans="2:10" ht="13.5" thickBot="1" x14ac:dyDescent="0.25">
      <c r="B37" s="102" t="s">
        <v>28</v>
      </c>
      <c r="C37" s="101"/>
      <c r="D37" s="100">
        <f>SUM(D4:D8,D10:D14,D16:D19,D21:D25,D27:D34,)</f>
        <v>10.5</v>
      </c>
      <c r="E37" s="100"/>
      <c r="F37" s="99"/>
      <c r="G37" s="99"/>
      <c r="H37" s="99"/>
      <c r="I37" s="99"/>
      <c r="J37" s="98"/>
    </row>
    <row r="38" spans="2:10" x14ac:dyDescent="0.2">
      <c r="E38" s="97"/>
    </row>
    <row r="39" spans="2:10" x14ac:dyDescent="0.2">
      <c r="E39" s="97"/>
    </row>
    <row r="40" spans="2:10" x14ac:dyDescent="0.2">
      <c r="E40" s="97"/>
    </row>
    <row r="41" spans="2:10" x14ac:dyDescent="0.2">
      <c r="E41" s="97"/>
    </row>
    <row r="42" spans="2:10" x14ac:dyDescent="0.2">
      <c r="E42" s="97"/>
    </row>
    <row r="43" spans="2:10" x14ac:dyDescent="0.2">
      <c r="E43" s="97"/>
    </row>
    <row r="44" spans="2:10" x14ac:dyDescent="0.2">
      <c r="E44" s="97"/>
    </row>
    <row r="45" spans="2:10" x14ac:dyDescent="0.2">
      <c r="E45" s="97"/>
    </row>
    <row r="46" spans="2:10" x14ac:dyDescent="0.2">
      <c r="E46" s="97"/>
    </row>
    <row r="47" spans="2:10" x14ac:dyDescent="0.2">
      <c r="E47" s="97"/>
    </row>
    <row r="48" spans="2:10" x14ac:dyDescent="0.2">
      <c r="E48" s="97"/>
    </row>
    <row r="49" spans="5:5" x14ac:dyDescent="0.2">
      <c r="E49" s="97"/>
    </row>
    <row r="50" spans="5:5" x14ac:dyDescent="0.2">
      <c r="E50" s="97"/>
    </row>
  </sheetData>
  <mergeCells count="6">
    <mergeCell ref="B35:J35"/>
    <mergeCell ref="B3:J3"/>
    <mergeCell ref="B9:J9"/>
    <mergeCell ref="B15:J15"/>
    <mergeCell ref="B20:J20"/>
    <mergeCell ref="B26:J26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94F5-4DA5-4DD7-B3D2-D52BEDE525B7}">
  <dimension ref="B1:J50"/>
  <sheetViews>
    <sheetView workbookViewId="0">
      <selection activeCell="D38" sqref="D38"/>
    </sheetView>
  </sheetViews>
  <sheetFormatPr baseColWidth="10" defaultRowHeight="12.75" x14ac:dyDescent="0.2"/>
  <cols>
    <col min="1" max="1" width="2.7109375" customWidth="1"/>
    <col min="2" max="2" width="43" bestFit="1" customWidth="1"/>
    <col min="3" max="3" width="9.85546875" bestFit="1" customWidth="1"/>
    <col min="4" max="4" width="16.5703125" bestFit="1" customWidth="1"/>
    <col min="5" max="5" width="14.42578125" bestFit="1" customWidth="1"/>
    <col min="6" max="6" width="11.28515625" bestFit="1" customWidth="1"/>
  </cols>
  <sheetData>
    <row r="1" spans="2:10" ht="13.5" thickBot="1" x14ac:dyDescent="0.25"/>
    <row r="2" spans="2:10" ht="19.5" thickBot="1" x14ac:dyDescent="0.35">
      <c r="B2" s="183" t="s">
        <v>54</v>
      </c>
      <c r="C2" s="181" t="s">
        <v>53</v>
      </c>
      <c r="D2" s="182" t="s">
        <v>51</v>
      </c>
      <c r="E2" s="181" t="s">
        <v>52</v>
      </c>
      <c r="F2" s="181"/>
      <c r="G2" s="181"/>
      <c r="H2" s="181"/>
      <c r="I2" s="181"/>
      <c r="J2" s="180"/>
    </row>
    <row r="3" spans="2:10" ht="19.5" thickBot="1" x14ac:dyDescent="0.35">
      <c r="B3" s="209" t="s">
        <v>14</v>
      </c>
      <c r="C3" s="210"/>
      <c r="D3" s="210"/>
      <c r="E3" s="210"/>
      <c r="F3" s="210"/>
      <c r="G3" s="210"/>
      <c r="H3" s="210"/>
      <c r="I3" s="210"/>
      <c r="J3" s="211"/>
    </row>
    <row r="4" spans="2:10" x14ac:dyDescent="0.2">
      <c r="B4" s="190" t="s">
        <v>50</v>
      </c>
      <c r="C4" s="189">
        <v>46056</v>
      </c>
      <c r="D4" s="175">
        <v>0.65</v>
      </c>
      <c r="E4" s="171">
        <v>1</v>
      </c>
      <c r="F4" s="192"/>
      <c r="G4" s="192"/>
      <c r="H4" s="192"/>
      <c r="I4" s="192"/>
      <c r="J4" s="193"/>
    </row>
    <row r="5" spans="2:10" x14ac:dyDescent="0.2">
      <c r="B5" s="173" t="s">
        <v>48</v>
      </c>
      <c r="C5" s="172">
        <v>46056</v>
      </c>
      <c r="D5" s="169">
        <v>0.65</v>
      </c>
      <c r="E5" s="170">
        <v>0</v>
      </c>
      <c r="F5" s="169"/>
      <c r="G5" s="169"/>
      <c r="H5" s="169"/>
      <c r="I5" s="169"/>
      <c r="J5" s="168"/>
    </row>
    <row r="6" spans="2:10" x14ac:dyDescent="0.2">
      <c r="B6" s="173" t="s">
        <v>47</v>
      </c>
      <c r="C6" s="172">
        <v>46056</v>
      </c>
      <c r="D6" s="192">
        <v>0.65</v>
      </c>
      <c r="E6" s="170">
        <v>0</v>
      </c>
      <c r="F6" s="169"/>
      <c r="G6" s="169"/>
      <c r="H6" s="169"/>
      <c r="I6" s="169"/>
      <c r="J6" s="168"/>
    </row>
    <row r="7" spans="2:10" x14ac:dyDescent="0.2">
      <c r="B7" s="173" t="s">
        <v>46</v>
      </c>
      <c r="C7" s="172">
        <v>46056</v>
      </c>
      <c r="D7" s="192">
        <v>0.65</v>
      </c>
      <c r="E7" s="170">
        <v>1</v>
      </c>
      <c r="F7" s="169"/>
      <c r="G7" s="169"/>
      <c r="H7" s="169"/>
      <c r="I7" s="169"/>
      <c r="J7" s="168"/>
    </row>
    <row r="8" spans="2:10" ht="13.5" thickBot="1" x14ac:dyDescent="0.25">
      <c r="B8" s="167" t="s">
        <v>45</v>
      </c>
      <c r="C8" s="166">
        <v>46056</v>
      </c>
      <c r="D8" s="191">
        <v>0.65</v>
      </c>
      <c r="E8" s="164">
        <v>0</v>
      </c>
      <c r="F8" s="163"/>
      <c r="G8" s="163"/>
      <c r="H8" s="163"/>
      <c r="I8" s="163"/>
      <c r="J8" s="162"/>
    </row>
    <row r="9" spans="2:10" ht="19.5" thickBot="1" x14ac:dyDescent="0.35">
      <c r="B9" s="212" t="s">
        <v>15</v>
      </c>
      <c r="C9" s="213"/>
      <c r="D9" s="213"/>
      <c r="E9" s="213"/>
      <c r="F9" s="213"/>
      <c r="G9" s="213"/>
      <c r="H9" s="213"/>
      <c r="I9" s="213"/>
      <c r="J9" s="214"/>
    </row>
    <row r="10" spans="2:10" x14ac:dyDescent="0.2">
      <c r="B10" s="161" t="s">
        <v>44</v>
      </c>
      <c r="C10" s="160">
        <v>46063</v>
      </c>
      <c r="D10" s="159">
        <v>0.65</v>
      </c>
      <c r="E10" s="159">
        <v>0</v>
      </c>
      <c r="F10" s="159"/>
      <c r="G10" s="159"/>
      <c r="H10" s="159"/>
      <c r="I10" s="159"/>
      <c r="J10" s="194"/>
    </row>
    <row r="11" spans="2:10" x14ac:dyDescent="0.2">
      <c r="B11" s="158" t="s">
        <v>43</v>
      </c>
      <c r="C11" s="157">
        <v>46063</v>
      </c>
      <c r="D11" s="156">
        <v>0.65</v>
      </c>
      <c r="E11" s="156">
        <v>0</v>
      </c>
      <c r="F11" s="156"/>
      <c r="G11" s="156"/>
      <c r="H11" s="156"/>
      <c r="I11" s="156"/>
      <c r="J11" s="185"/>
    </row>
    <row r="12" spans="2:10" x14ac:dyDescent="0.2">
      <c r="B12" s="158" t="s">
        <v>42</v>
      </c>
      <c r="C12" s="157">
        <v>46063</v>
      </c>
      <c r="D12" s="156">
        <v>0.65</v>
      </c>
      <c r="E12" s="156">
        <v>1</v>
      </c>
      <c r="F12" s="156"/>
      <c r="G12" s="156"/>
      <c r="H12" s="156"/>
      <c r="I12" s="156"/>
      <c r="J12" s="185"/>
    </row>
    <row r="13" spans="2:10" x14ac:dyDescent="0.2">
      <c r="B13" s="158" t="s">
        <v>41</v>
      </c>
      <c r="C13" s="157">
        <v>46063</v>
      </c>
      <c r="D13" s="156">
        <v>0.65</v>
      </c>
      <c r="E13" s="156">
        <v>1</v>
      </c>
      <c r="F13" s="156"/>
      <c r="G13" s="156"/>
      <c r="H13" s="156"/>
      <c r="I13" s="156"/>
      <c r="J13" s="185"/>
    </row>
    <row r="14" spans="2:10" ht="13.5" thickBot="1" x14ac:dyDescent="0.25">
      <c r="B14" s="155" t="s">
        <v>40</v>
      </c>
      <c r="C14" s="154">
        <v>46063</v>
      </c>
      <c r="D14" s="153">
        <v>0.65</v>
      </c>
      <c r="E14" s="153">
        <v>1</v>
      </c>
      <c r="F14" s="153"/>
      <c r="G14" s="153"/>
      <c r="H14" s="153"/>
      <c r="I14" s="153"/>
      <c r="J14" s="195"/>
    </row>
    <row r="15" spans="2:10" ht="19.5" thickBot="1" x14ac:dyDescent="0.35">
      <c r="B15" s="197" t="s">
        <v>16</v>
      </c>
      <c r="C15" s="198"/>
      <c r="D15" s="198"/>
      <c r="E15" s="198"/>
      <c r="F15" s="198"/>
      <c r="G15" s="198"/>
      <c r="H15" s="198"/>
      <c r="I15" s="198"/>
      <c r="J15" s="199"/>
    </row>
    <row r="16" spans="2:10" x14ac:dyDescent="0.2">
      <c r="B16" s="152" t="s">
        <v>39</v>
      </c>
      <c r="C16" s="151">
        <v>46070</v>
      </c>
      <c r="D16" s="150">
        <v>1</v>
      </c>
      <c r="E16" s="150"/>
      <c r="F16" s="149"/>
      <c r="G16" s="149"/>
      <c r="H16" s="149"/>
      <c r="I16" s="149"/>
      <c r="J16" s="148"/>
    </row>
    <row r="17" spans="2:10" x14ac:dyDescent="0.2">
      <c r="B17" s="147" t="s">
        <v>17</v>
      </c>
      <c r="C17" s="146">
        <v>46070</v>
      </c>
      <c r="D17" s="145">
        <v>1</v>
      </c>
      <c r="E17" s="145"/>
      <c r="F17" s="144"/>
      <c r="G17" s="144"/>
      <c r="H17" s="144"/>
      <c r="I17" s="144"/>
      <c r="J17" s="143"/>
    </row>
    <row r="18" spans="2:10" x14ac:dyDescent="0.2">
      <c r="B18" s="147" t="s">
        <v>38</v>
      </c>
      <c r="C18" s="146">
        <v>46070</v>
      </c>
      <c r="D18" s="145">
        <v>1</v>
      </c>
      <c r="E18" s="145"/>
      <c r="F18" s="144"/>
      <c r="G18" s="144"/>
      <c r="H18" s="144"/>
      <c r="I18" s="144"/>
      <c r="J18" s="143"/>
    </row>
    <row r="19" spans="2:10" ht="13.5" thickBot="1" x14ac:dyDescent="0.25">
      <c r="B19" s="142" t="s">
        <v>37</v>
      </c>
      <c r="C19" s="141">
        <v>46070</v>
      </c>
      <c r="D19" s="140">
        <v>1</v>
      </c>
      <c r="E19" s="140"/>
      <c r="F19" s="139"/>
      <c r="G19" s="139"/>
      <c r="H19" s="139"/>
      <c r="I19" s="139"/>
      <c r="J19" s="138"/>
    </row>
    <row r="20" spans="2:10" ht="19.5" thickBot="1" x14ac:dyDescent="0.35">
      <c r="B20" s="200" t="s">
        <v>18</v>
      </c>
      <c r="C20" s="201"/>
      <c r="D20" s="201"/>
      <c r="E20" s="201"/>
      <c r="F20" s="201"/>
      <c r="G20" s="201"/>
      <c r="H20" s="201"/>
      <c r="I20" s="201"/>
      <c r="J20" s="202"/>
    </row>
    <row r="21" spans="2:10" x14ac:dyDescent="0.2">
      <c r="B21" s="137" t="s">
        <v>36</v>
      </c>
      <c r="C21" s="136">
        <v>46077</v>
      </c>
      <c r="D21" s="134"/>
      <c r="E21" s="135"/>
      <c r="F21" s="134"/>
      <c r="G21" s="134"/>
      <c r="H21" s="134"/>
      <c r="I21" s="134"/>
      <c r="J21" s="133"/>
    </row>
    <row r="22" spans="2:10" x14ac:dyDescent="0.2">
      <c r="B22" s="132" t="s">
        <v>35</v>
      </c>
      <c r="C22" s="131">
        <v>46077</v>
      </c>
      <c r="D22" s="129"/>
      <c r="E22" s="130"/>
      <c r="F22" s="129"/>
      <c r="G22" s="129"/>
      <c r="H22" s="129"/>
      <c r="I22" s="129"/>
      <c r="J22" s="128"/>
    </row>
    <row r="23" spans="2:10" x14ac:dyDescent="0.2">
      <c r="B23" s="132" t="s">
        <v>34</v>
      </c>
      <c r="C23" s="131">
        <v>46077</v>
      </c>
      <c r="D23" s="129"/>
      <c r="E23" s="130"/>
      <c r="F23" s="129"/>
      <c r="G23" s="129"/>
      <c r="H23" s="129"/>
      <c r="I23" s="129"/>
      <c r="J23" s="128"/>
    </row>
    <row r="24" spans="2:10" x14ac:dyDescent="0.2">
      <c r="B24" s="132" t="s">
        <v>33</v>
      </c>
      <c r="C24" s="131">
        <v>46077</v>
      </c>
      <c r="D24" s="129"/>
      <c r="E24" s="130"/>
      <c r="F24" s="129"/>
      <c r="G24" s="129"/>
      <c r="H24" s="129"/>
      <c r="I24" s="129"/>
      <c r="J24" s="128"/>
    </row>
    <row r="25" spans="2:10" ht="13.5" thickBot="1" x14ac:dyDescent="0.25">
      <c r="B25" s="127" t="s">
        <v>32</v>
      </c>
      <c r="C25" s="126">
        <v>46077</v>
      </c>
      <c r="D25" s="124"/>
      <c r="E25" s="125"/>
      <c r="F25" s="124"/>
      <c r="G25" s="124"/>
      <c r="H25" s="124"/>
      <c r="I25" s="124"/>
      <c r="J25" s="123"/>
    </row>
    <row r="26" spans="2:10" ht="19.5" thickBot="1" x14ac:dyDescent="0.35">
      <c r="B26" s="203" t="s">
        <v>20</v>
      </c>
      <c r="C26" s="204"/>
      <c r="D26" s="204"/>
      <c r="E26" s="204"/>
      <c r="F26" s="204"/>
      <c r="G26" s="204"/>
      <c r="H26" s="204"/>
      <c r="I26" s="204"/>
      <c r="J26" s="205"/>
    </row>
    <row r="27" spans="2:10" x14ac:dyDescent="0.2">
      <c r="B27" s="122" t="s">
        <v>21</v>
      </c>
      <c r="C27" s="121"/>
      <c r="D27" s="119"/>
      <c r="E27" s="120"/>
      <c r="F27" s="119"/>
      <c r="G27" s="119"/>
      <c r="H27" s="119"/>
      <c r="I27" s="119"/>
      <c r="J27" s="118"/>
    </row>
    <row r="28" spans="2:10" x14ac:dyDescent="0.2">
      <c r="B28" s="117" t="s">
        <v>22</v>
      </c>
      <c r="C28" s="116">
        <v>46056</v>
      </c>
      <c r="D28" s="115">
        <v>0</v>
      </c>
      <c r="E28" s="115">
        <v>0</v>
      </c>
      <c r="F28" s="114"/>
      <c r="G28" s="114"/>
      <c r="H28" s="114"/>
      <c r="I28" s="114"/>
      <c r="J28" s="113"/>
    </row>
    <row r="29" spans="2:10" x14ac:dyDescent="0.2">
      <c r="B29" s="117" t="s">
        <v>22</v>
      </c>
      <c r="C29" s="116">
        <v>46058</v>
      </c>
      <c r="D29" s="115">
        <v>0</v>
      </c>
      <c r="E29" s="115">
        <v>0</v>
      </c>
      <c r="F29" s="114"/>
      <c r="G29" s="114"/>
      <c r="H29" s="114"/>
      <c r="I29" s="114"/>
      <c r="J29" s="113"/>
    </row>
    <row r="30" spans="2:10" x14ac:dyDescent="0.2">
      <c r="B30" s="117" t="s">
        <v>22</v>
      </c>
      <c r="C30" s="116">
        <v>46063</v>
      </c>
      <c r="D30" s="115">
        <v>0</v>
      </c>
      <c r="E30" s="115">
        <v>0</v>
      </c>
      <c r="F30" s="114"/>
      <c r="G30" s="114"/>
      <c r="H30" s="114"/>
      <c r="I30" s="114"/>
      <c r="J30" s="113"/>
    </row>
    <row r="31" spans="2:10" x14ac:dyDescent="0.2">
      <c r="B31" s="117" t="s">
        <v>22</v>
      </c>
      <c r="C31" s="116">
        <v>46065</v>
      </c>
      <c r="D31" s="114"/>
      <c r="E31" s="115"/>
      <c r="F31" s="114"/>
      <c r="G31" s="114"/>
      <c r="H31" s="114"/>
      <c r="I31" s="114"/>
      <c r="J31" s="113"/>
    </row>
    <row r="32" spans="2:10" x14ac:dyDescent="0.2">
      <c r="B32" s="117" t="s">
        <v>22</v>
      </c>
      <c r="C32" s="116">
        <v>46070</v>
      </c>
      <c r="D32" s="114"/>
      <c r="E32" s="115"/>
      <c r="F32" s="114"/>
      <c r="G32" s="114"/>
      <c r="H32" s="114"/>
      <c r="I32" s="114"/>
      <c r="J32" s="113"/>
    </row>
    <row r="33" spans="2:10" x14ac:dyDescent="0.2">
      <c r="B33" s="117" t="s">
        <v>22</v>
      </c>
      <c r="C33" s="116">
        <v>46072</v>
      </c>
      <c r="D33" s="114"/>
      <c r="E33" s="115"/>
      <c r="F33" s="114"/>
      <c r="G33" s="114"/>
      <c r="H33" s="114"/>
      <c r="I33" s="114"/>
      <c r="J33" s="113"/>
    </row>
    <row r="34" spans="2:10" ht="13.5" thickBot="1" x14ac:dyDescent="0.25">
      <c r="B34" s="112" t="s">
        <v>22</v>
      </c>
      <c r="C34" s="111">
        <v>46077</v>
      </c>
      <c r="D34" s="109"/>
      <c r="E34" s="110"/>
      <c r="F34" s="109"/>
      <c r="G34" s="109"/>
      <c r="H34" s="109"/>
      <c r="I34" s="109"/>
      <c r="J34" s="108"/>
    </row>
    <row r="35" spans="2:10" ht="19.5" thickBot="1" x14ac:dyDescent="0.35">
      <c r="B35" s="206" t="s">
        <v>25</v>
      </c>
      <c r="C35" s="207"/>
      <c r="D35" s="207"/>
      <c r="E35" s="207"/>
      <c r="F35" s="207"/>
      <c r="G35" s="207"/>
      <c r="H35" s="207"/>
      <c r="I35" s="207"/>
      <c r="J35" s="208"/>
    </row>
    <row r="36" spans="2:10" x14ac:dyDescent="0.2">
      <c r="B36" s="107" t="s">
        <v>27</v>
      </c>
      <c r="C36" s="106"/>
      <c r="D36" s="104"/>
      <c r="E36" s="105"/>
      <c r="F36" s="104"/>
      <c r="G36" s="104"/>
      <c r="H36" s="104"/>
      <c r="I36" s="104"/>
      <c r="J36" s="103"/>
    </row>
    <row r="37" spans="2:10" ht="13.5" thickBot="1" x14ac:dyDescent="0.25">
      <c r="B37" s="102" t="s">
        <v>28</v>
      </c>
      <c r="C37" s="101"/>
      <c r="D37" s="100">
        <f>SUM(D4:D8,D10:D14,D16:D19,D21:D25,D27:D34)</f>
        <v>10.5</v>
      </c>
      <c r="E37" s="100"/>
      <c r="F37" s="99"/>
      <c r="G37" s="99"/>
      <c r="H37" s="99"/>
      <c r="I37" s="99"/>
      <c r="J37" s="98"/>
    </row>
    <row r="38" spans="2:10" x14ac:dyDescent="0.2">
      <c r="E38" s="97"/>
    </row>
    <row r="39" spans="2:10" x14ac:dyDescent="0.2">
      <c r="E39" s="97"/>
    </row>
    <row r="40" spans="2:10" x14ac:dyDescent="0.2">
      <c r="E40" s="97"/>
    </row>
    <row r="41" spans="2:10" x14ac:dyDescent="0.2">
      <c r="E41" s="97"/>
    </row>
    <row r="42" spans="2:10" x14ac:dyDescent="0.2">
      <c r="E42" s="97"/>
    </row>
    <row r="43" spans="2:10" x14ac:dyDescent="0.2">
      <c r="E43" s="97"/>
    </row>
    <row r="44" spans="2:10" x14ac:dyDescent="0.2">
      <c r="E44" s="97"/>
    </row>
    <row r="45" spans="2:10" x14ac:dyDescent="0.2">
      <c r="E45" s="97"/>
    </row>
    <row r="46" spans="2:10" x14ac:dyDescent="0.2">
      <c r="E46" s="97"/>
    </row>
    <row r="47" spans="2:10" x14ac:dyDescent="0.2">
      <c r="E47" s="97"/>
    </row>
    <row r="48" spans="2:10" x14ac:dyDescent="0.2">
      <c r="E48" s="97"/>
    </row>
    <row r="49" spans="5:5" x14ac:dyDescent="0.2">
      <c r="E49" s="97"/>
    </row>
    <row r="50" spans="5:5" x14ac:dyDescent="0.2">
      <c r="E50" s="97"/>
    </row>
  </sheetData>
  <mergeCells count="6">
    <mergeCell ref="B35:J35"/>
    <mergeCell ref="B3:J3"/>
    <mergeCell ref="B9:J9"/>
    <mergeCell ref="B15:J15"/>
    <mergeCell ref="B20:J20"/>
    <mergeCell ref="B26:J26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9A348DBC280C4BB08D29548E58533C" ma:contentTypeVersion="10" ma:contentTypeDescription="Ein neues Dokument erstellen." ma:contentTypeScope="" ma:versionID="46a6087d9fea8580f185a0ea868da469">
  <xsd:schema xmlns:xsd="http://www.w3.org/2001/XMLSchema" xmlns:xs="http://www.w3.org/2001/XMLSchema" xmlns:p="http://schemas.microsoft.com/office/2006/metadata/properties" xmlns:ns2="83c7e37f-cb9c-4af6-99b9-72a827d5e6dc" xmlns:ns3="5030cb7a-6be5-477a-957d-975e4d3028a7" targetNamespace="http://schemas.microsoft.com/office/2006/metadata/properties" ma:root="true" ma:fieldsID="b2782d6ccc790305c9f50df66f3552fa" ns2:_="" ns3:_="">
    <xsd:import namespace="83c7e37f-cb9c-4af6-99b9-72a827d5e6dc"/>
    <xsd:import namespace="5030cb7a-6be5-477a-957d-975e4d3028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e37f-cb9c-4af6-99b9-72a827d5e6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6881dbb9-6d74-4666-bc38-6449147375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0cb7a-6be5-477a-957d-975e4d3028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3e1b50b-db02-44a8-9d2f-e083396b8a98}" ma:internalName="TaxCatchAll" ma:showField="CatchAllData" ma:web="5030cb7a-6be5-477a-957d-975e4d3028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30cb7a-6be5-477a-957d-975e4d3028a7" xsi:nil="true"/>
    <lcf76f155ced4ddcb4097134ff3c332f xmlns="83c7e37f-cb9c-4af6-99b9-72a827d5e6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0B1C85-06A4-4402-967D-2C9EECE4E4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52E652-DD0D-46FB-9387-39888CBB7B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c7e37f-cb9c-4af6-99b9-72a827d5e6dc"/>
    <ds:schemaRef ds:uri="5030cb7a-6be5-477a-957d-975e4d3028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274801-13DF-4427-B402-2D080C779060}">
  <ds:schemaRefs>
    <ds:schemaRef ds:uri="http://schemas.microsoft.com/office/2006/metadata/properties"/>
    <ds:schemaRef ds:uri="http://schemas.microsoft.com/office/infopath/2007/PartnerControls"/>
    <ds:schemaRef ds:uri="5030cb7a-6be5-477a-957d-975e4d3028a7"/>
    <ds:schemaRef ds:uri="83c7e37f-cb9c-4af6-99b9-72a827d5e6d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Terminplan</vt:lpstr>
      <vt:lpstr>Ch.G</vt:lpstr>
      <vt:lpstr>St.G</vt:lpstr>
      <vt:lpstr>Be.P</vt:lpstr>
      <vt:lpstr>Su.S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 Bruno</dc:creator>
  <cp:keywords/>
  <dc:description/>
  <cp:lastModifiedBy>Benjamin Phengrasamy</cp:lastModifiedBy>
  <cp:revision/>
  <dcterms:created xsi:type="dcterms:W3CDTF">2011-11-30T18:59:22Z</dcterms:created>
  <dcterms:modified xsi:type="dcterms:W3CDTF">2026-03-10T19:04:14Z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0x010100C89A348DBC280C4BB08D29548E58533C</vt:lpwstr>
  </property>
</Properties>
</file>